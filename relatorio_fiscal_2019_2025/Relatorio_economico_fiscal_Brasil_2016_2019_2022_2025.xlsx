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 executivo" sheetId="1" state="visible" r:id="rId3"/>
    <sheet name="Indicadores consolidados" sheetId="2" state="visible" r:id="rId4"/>
    <sheet name="PIB setorial" sheetId="3" state="visible" r:id="rId5"/>
    <sheet name="Receitas públicas" sheetId="4" state="visible" r:id="rId6"/>
    <sheet name="Despesas públicas" sheetId="5" state="visible" r:id="rId7"/>
    <sheet name="Dívida e juros" sheetId="6" state="visible" r:id="rId8"/>
    <sheet name="LOA e execução orçamentária" sheetId="7" state="visible" r:id="rId9"/>
    <sheet name="Saúde, educação e previdência" sheetId="8" state="visible" r:id="rId10"/>
    <sheet name="Segurança e polít. afirmativas" sheetId="9" state="visible" r:id="rId11"/>
    <sheet name="Políticas afirmativas e apoio" sheetId="10" state="visible" r:id="rId12"/>
    <sheet name="BNDES, Plano Safra e P&amp;D" sheetId="11" state="visible" r:id="rId13"/>
    <sheet name="Emprego" sheetId="12" state="visible" r:id="rId14"/>
    <sheet name="Comércio exterior" sheetId="13" state="visible" r:id="rId15"/>
    <sheet name="Invest. privados e industriais" sheetId="14" state="visible" r:id="rId16"/>
    <sheet name="Infraestrutura federal" sheetId="15" state="visible" r:id="rId17"/>
    <sheet name="Fontes e metodologia" sheetId="16" state="visible" r:id="rId18"/>
  </sheets>
  <definedNames>
    <definedName function="false" hidden="true" localSheetId="10" name="_xlnm._FilterDatabase" vbProcedure="false">'BNDES, Plano Safra e P&amp;D'!$A$3:$AB$16</definedName>
    <definedName function="false" hidden="true" localSheetId="12" name="_xlnm._FilterDatabase" vbProcedure="false">'Comércio exterior'!$A$3:$AF$8</definedName>
    <definedName function="false" hidden="true" localSheetId="4" name="_xlnm._FilterDatabase" vbProcedure="false">'Despesas públicas'!$A$3:$AB$18</definedName>
    <definedName function="false" hidden="true" localSheetId="5" name="_xlnm._FilterDatabase" vbProcedure="false">'Dívida e juros'!$A$3:$AB$19</definedName>
    <definedName function="false" hidden="true" localSheetId="11" name="_xlnm._FilterDatabase" vbProcedure="false">Emprego!$A$3:$AB$10</definedName>
    <definedName function="false" hidden="true" localSheetId="15" name="_xlnm._FilterDatabase" vbProcedure="false">'Fontes e metodologia'!$A$3:$J$50</definedName>
    <definedName function="false" hidden="true" localSheetId="1" name="_xlnm._FilterDatabase" vbProcedure="false">'Indicadores consolidados'!$A$3:$Z$77</definedName>
    <definedName function="false" hidden="true" localSheetId="14" name="_xlnm._FilterDatabase" vbProcedure="false">'Infraestrutura federal'!$A$3:$AB$34</definedName>
    <definedName function="false" hidden="true" localSheetId="13" name="_xlnm._FilterDatabase" vbProcedure="false">'Invest. privados e industriais'!$A$3:$AB$7</definedName>
    <definedName function="false" hidden="true" localSheetId="6" name="_xlnm._FilterDatabase" vbProcedure="false">'LOA e execução orçamentária'!$A$3:$AB$15</definedName>
    <definedName function="false" hidden="true" localSheetId="2" name="_xlnm._FilterDatabase" vbProcedure="false">'PIB setorial'!$A$3:$AB$26</definedName>
    <definedName function="false" hidden="true" localSheetId="9" name="_xlnm._FilterDatabase" vbProcedure="false">'Políticas afirmativas e apoio'!$A$3:$AB$38</definedName>
    <definedName function="false" hidden="true" localSheetId="3" name="_xlnm._FilterDatabase" vbProcedure="false">'Receitas públicas'!$A$3:$AB$19</definedName>
    <definedName function="false" hidden="true" localSheetId="7" name="_xlnm._FilterDatabase" vbProcedure="false">'Saúde, educação e previdência'!$A$3:$AB$26</definedName>
    <definedName function="false" hidden="true" localSheetId="8" name="_xlnm._FilterDatabase" vbProcedure="false">'Segurança e polít. afirmativas'!$A$3:$AB$19</definedName>
    <definedName function="false" hidden="false" name="FATOR_2016" vbProcedure="false">'Resumo executivo'!$B$7</definedName>
    <definedName function="false" hidden="false" name="FATOR_2019" vbProcedure="false">'Resumo executivo'!$C$7</definedName>
    <definedName function="false" hidden="false" name="FATOR_2022" vbProcedure="false">'Resumo executivo'!$D$7</definedName>
    <definedName function="false" hidden="false" name="FATOR_2025" vbProcedure="false">'Resumo executivo'!$E$7</definedName>
    <definedName function="false" hidden="false" name="IPCA_DEZ_2016" vbProcedure="false">'Resumo executivo'!$B$6</definedName>
    <definedName function="false" hidden="false" name="IPCA_DEZ_2019" vbProcedure="false">'Resumo executivo'!$C$6</definedName>
    <definedName function="false" hidden="false" name="IPCA_DEZ_2022" vbProcedure="false">'Resumo executivo'!$D$6</definedName>
    <definedName function="false" hidden="false" name="IPCA_DEZ_2025" vbProcedure="false">'Resumo executivo'!$E$6</definedName>
    <definedName function="false" hidden="false" name="PIB_2016" vbProcedure="false">'Resumo executivo'!$B$5</definedName>
    <definedName function="false" hidden="false" name="PIB_2019" vbProcedure="false">'Resumo executivo'!$C$5</definedName>
    <definedName function="false" hidden="false" name="PIB_2022" vbProcedure="false">'Resumo executivo'!$D$5</definedName>
    <definedName function="false" hidden="false" name="PIB_2025" vbProcedure="false">'Resumo executivo'!$E$5</definedName>
    <definedName function="false" hidden="false" name="PTAX_2016" vbProcedure="false">'Resumo executivo'!$B$8</definedName>
    <definedName function="false" hidden="false" name="PTAX_2019" vbProcedure="false">'Resumo executivo'!$C$8</definedName>
    <definedName function="false" hidden="false" name="PTAX_2022" vbProcedure="false">'Resumo executivo'!$D$8</definedName>
    <definedName function="false" hidden="false" name="PTAX_2025" vbProcedure="false">'Resumo executivo'!$E$8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<sst xmlns="http://schemas.openxmlformats.org/spreadsheetml/2006/main" count="4675" uniqueCount="1408">
  <si>
    <t xml:space="preserve">Relatório econômico-fiscal do Brasil – 2016 × 2019 × 2022 × 2025</t>
  </si>
  <si>
    <t xml:space="preserve">Escopo nacional; contas públicas com prioridade à União/Governo Central. Dados acessados em 22/09/2026. Valores nominais do próprio ano; correção pelo IPCA até dez/2025.</t>
  </si>
  <si>
    <t xml:space="preserve">Parâmetros de cálculo</t>
  </si>
  <si>
    <t xml:space="preserve">2016</t>
  </si>
  <si>
    <t xml:space="preserve">2019</t>
  </si>
  <si>
    <t xml:space="preserve">2022</t>
  </si>
  <si>
    <t xml:space="preserve">2025</t>
  </si>
  <si>
    <t xml:space="preserve">PIB (R$ bi, IBGE SIDRA 1846)</t>
  </si>
  <si>
    <t xml:space="preserve">IPCA número-índice de dezembro (SIDRA 1737)</t>
  </si>
  <si>
    <t xml:space="preserve">Fator IPCA dez/ano → dez/2025</t>
  </si>
  <si>
    <t xml:space="preserve">PTAX média anual (R$/US$, média das médias mensais – BCB SGS 3698)</t>
  </si>
  <si>
    <t xml:space="preserve">PIB em US$ bi</t>
  </si>
  <si>
    <t xml:space="preserve">Principais indicadores</t>
  </si>
  <si>
    <t xml:space="preserve">Indicador</t>
  </si>
  <si>
    <t xml:space="preserve">Var. real 2016→2019</t>
  </si>
  <si>
    <t xml:space="preserve">Var. real 2019→2022</t>
  </si>
  <si>
    <t xml:space="preserve">Var. real 2022→2025</t>
  </si>
  <si>
    <t xml:space="preserve">Leitura</t>
  </si>
  <si>
    <t xml:space="preserve">PIB (R$ bi)</t>
  </si>
  <si>
    <t xml:space="preserve">Recessão 2015–16, pandemia em 2020 e recuperação desde 2021.</t>
  </si>
  <si>
    <t xml:space="preserve">Participação da agropecuária no PIB</t>
  </si>
  <si>
    <t xml:space="preserve">Ganho contínuo de peso relativo.</t>
  </si>
  <si>
    <t xml:space="preserve">Participação da indústria no PIB</t>
  </si>
  <si>
    <t xml:space="preserve">Salto em 2022 puxado pela extrativa (petróleo).</t>
  </si>
  <si>
    <t xml:space="preserve">Participação dos serviços financeiros no PIB</t>
  </si>
  <si>
    <t xml:space="preserve">Participação dos serviços não financeiros no PIB</t>
  </si>
  <si>
    <t xml:space="preserve">Perde participação ao longo do período.</t>
  </si>
  <si>
    <t xml:space="preserve">Receita líquida do Governo Central (R$ bi)</t>
  </si>
  <si>
    <t xml:space="preserve">Despesa primária do Governo Central (R$ bi)</t>
  </si>
  <si>
    <t xml:space="preserve">Teto de gastos (2017–2022) × arcabouço (2024–).</t>
  </si>
  <si>
    <t xml:space="preserve">Resultado primário do Governo Central (R$ bi)</t>
  </si>
  <si>
    <t xml:space="preserve">Déficit em 2016 e 2019, superávit em 2022, déficit em 2025.</t>
  </si>
  <si>
    <t xml:space="preserve">Juros nominais – setor público consolidado (R$ bi)</t>
  </si>
  <si>
    <t xml:space="preserve">Selic: 14,25% (2016) → 4,5% (2019) → 13,75% (2022) → 15% (2025).</t>
  </si>
  <si>
    <t xml:space="preserve">Dívida Bruta do Governo Geral (% PIB, BCB)</t>
  </si>
  <si>
    <t xml:space="preserve">Dívida Líquida do Setor Público (% PIB, BCB)</t>
  </si>
  <si>
    <t xml:space="preserve">Investimentos federais pagos – RTN (R$ bi)</t>
  </si>
  <si>
    <t xml:space="preserve">Mínimo em 2022.</t>
  </si>
  <si>
    <t xml:space="preserve">Desembolsos do BNDES (R$ bi)</t>
  </si>
  <si>
    <t xml:space="preserve">Plano Safra (R$ bi, ciclo)</t>
  </si>
  <si>
    <t xml:space="preserve">Ciclos agrícolas, não anos civis.</t>
  </si>
  <si>
    <t xml:space="preserve">Saldo de empregos formais (pessoas)</t>
  </si>
  <si>
    <t xml:space="preserve">Quebra Caged/Novo Caged em 2020.</t>
  </si>
  <si>
    <t xml:space="preserve">Bolsa Família / Auxílio Brasil pago (R$ bi)</t>
  </si>
  <si>
    <t xml:space="preserve">Auxílio Brasil em 2022; novo Bolsa Família em 2025.</t>
  </si>
  <si>
    <t xml:space="preserve">Taxa média de desocupação</t>
  </si>
  <si>
    <t xml:space="preserve">Exportações (US$ bi)</t>
  </si>
  <si>
    <t xml:space="preserve">Saldo comercial (US$ bi)</t>
  </si>
  <si>
    <t xml:space="preserve">Para % e taxas, as colunas de variação trazem diferença em p.p.; para US$ e pessoas, variação nominal.</t>
  </si>
  <si>
    <t xml:space="preserve">Legenda de cores (classificação do dado)</t>
  </si>
  <si>
    <t xml:space="preserve">OFICIAL</t>
  </si>
  <si>
    <t xml:space="preserve">Dado oficial publicado (IBGE, BCB, Tesouro, RFB, MTE, MDIC, BNDES, MAPA/MDA, Siconfi, Portal da Transparência, Casa Civil)</t>
  </si>
  <si>
    <t xml:space="preserve">ESTIMADO</t>
  </si>
  <si>
    <t xml:space="preserve">Estimativa/projeção oficial ou cálculo próprio a partir de dados oficiais (soma, diferença, % aplicado ao PIB)</t>
  </si>
  <si>
    <t xml:space="preserve">APROXIMAÇÃO</t>
  </si>
  <si>
    <t xml:space="preserve">Aproximação: período, conceito ou recorte diferente do solicitado (explicado na observação)</t>
  </si>
  <si>
    <t xml:space="preserve">IMPRENSA/SETORIAL</t>
  </si>
  <si>
    <t xml:space="preserve">Cifra obtida via imprensa ou entidade setorial (Abdib, Inesc etc.), sem acesso direto à base oficial</t>
  </si>
  <si>
    <t xml:space="preserve">NÃO LOCALIZADO</t>
  </si>
  <si>
    <t xml:space="preserve">Não localizado após busca — tentativas registradas na aba 'Fontes e metodologia'</t>
  </si>
  <si>
    <t xml:space="preserve">Síntese das principais diferenças 2016 × 2019 × 2022 × 2025</t>
  </si>
  <si>
    <t xml:space="preserve">■ 1. Economia e estrutura produtiva</t>
  </si>
  <si>
    <t xml:space="preserve">Em reais de dez/2025 (IPCA), o PIB foi de R$ 9,72 tri (2016) para R$ 10,28 tri (2019), R$ 11,53 tri (2022) e R$ 12,74 tri (2025). A agropecuária subiu de 4,9% do PIB em 2016 para 6,1% em 2025, com queda em 2019 (4,2%). A indústria teve pico em 2022 (22,8%), puxado pela extrativa (petróleo caro), e voltou a 20,2% em 2025. Os serviços não financeiros caíram de 56,4% para 52,4% do PIB; o setor financeiro recuou até 2022 (6,0%) e saltou em 2025 (7,3%). A FBCF foi de 15,5% do PIB (2016) a 17,8% (2022) e 16,8% (2025).</t>
  </si>
  <si>
    <t xml:space="preserve">■ 2. Contas do Governo Central</t>
  </si>
  <si>
    <t xml:space="preserve">A receita líquida subiu de 17,4% do PIB (2016) para cerca de 18,3% a partir de 2019. A despesa primária caiu de 19,9% (2016) para 18,0% (2022), sob o teto de gastos, e voltou a 18,8% em 2025. O resultado primário passou de déficit de R$ 161 bi (2016, pior da série) e R$ 95 bi (2019) para superávit de R$ 46 bi em 2022 (54 bi na divulgação original), impulsionado por royalties, dividendos e receitas extraordinárias, e para déficit de R$ 62 bi em 2025. Os gastos tributários ficaram entre 4,2% e 4,6% do PIB nos quatro anos; os benefícios financeiros e creditícios caíram de 1,8% (2016) para 0,5% (2019) e voltaram a 1,2–1,4%.</t>
  </si>
  <si>
    <t xml:space="preserve">■ 3. Dívida e juros</t>
  </si>
  <si>
    <t xml:space="preserve">Os juros do setor público foram de 6,5% do PIB (2016, Selic 14,25%) para 5,0% (2019, Selic baixa), 5,8% (2022) e 7,9% (2025, Selic 15%). A dívida bruta foi de 69,8% (2016) para 74,4% (2019), recuou a 71,7% (2022) e atingiu 78,6% (2025). A dívida líquida subiu sem interrupção: 46,1% → 54,7% → 56,1% → 65,2% do PIB. A DPF quase triplicou em termos nominais (R$ 3,1 tri → R$ 8,6 tri).</t>
  </si>
  <si>
    <t xml:space="preserve">■ 4. Orçamento: prioridades e execução</t>
  </si>
  <si>
    <t xml:space="preserve">Em reais de 2025, saúde empenhada ficou praticamente estável entre 2016 e 2022 (R$ 165–175 bi) e saltou para R$ 239 bi em 2025; educação caiu de R$ 147 bi (2016) para R$ 135 bi (2022) e subiu para R$ 176 bi (2025). Segurança pública cresceu de forma gradual (R$ 13,7 bi → R$ 16,6 bi). O investimento federal pago (RTN) caiu de R$ 74 bi (2016, em R$ de 2025) para R$ 46 bi (2022) e se recuperou para R$ 70 bi em 2025, ainda abaixo de 2016. O programa de igualdade racial teve R$ 20 mi empenhados em 2016, R$ 12 mi em 2019, nenhum programa específico em 2022 e R$ 77 mi em 2025.</t>
  </si>
  <si>
    <t xml:space="preserve">■ 5. Crédito público, emprego e setor externo</t>
  </si>
  <si>
    <t xml:space="preserve">Os desembolsos do BNDES, em reais de 2025, caíram de R$ 137 bi (2016) para R$ 77 bi (2019) e subiram para R$ 111 bi (2022) e R$ 170 bi (2025). O Plano Safra anunciado (reais de 2025) foi de R$ 361 bi (2016/17) a R$ 314 bi (2019/20), R$ 390 bi (2022/23) e R$ 605 bi (2025/26). O emprego formal passou de perda de 1,32 milhão de vagas (2016) a saldos de 644 mil (2019), 2,04 milhões (2022) e 1,28 milhão (2025), com quebra metodológica em 2020; a desocupação foi de 11,5% e 11,9% para 9,3% e 5,6%. As exportações quase dobraram (US$ 180 bi → US$ 348 bi), com salto em 2022; o saldo comercial foi de US$ 40 bi para US$ 68 bi; o IDP oscilou entre US$ 69 bi e US$ 78 bi.</t>
  </si>
  <si>
    <t xml:space="preserve">■ 5-A. Políticas afirmativas e de apoio social (aba nova)</t>
  </si>
  <si>
    <t xml:space="preserve">Em reais de 2025, a transferência de renda (Bolsa Família; Auxílio Brasil em 2022) passou de R$ 42,6 bi (2016) e R$ 45,2 bi (2019) para R$ 129,3 bi (2022) e R$ 171,8 bi (2025), de 0,44% para 1,35% do PIB; as famílias atendidas foram de cerca de 13,5–13,9 milhões para 21,6 milhões (dez/2022) e 18,7 milhões (dez/2025). O BPC subiu de R$ 75,9 bi para R$ 127,2 bi. Na assistência estudantil, o PNAES ficou estável ou em queda real até 2022 (R$ 1,26 bi → R$ 0,94 bi) e voltou a R$ 1,24 bi em 2025; a Bolsa Permanência caiu para R$ 152 mi em 2022 e subiu para R$ 406 mi em 2025. O subtotal pago das políticas afirmativas e de apoio (Portal) foi de R$ 44,6 bi para R$ 174,1 bi em reais de 2025. Na educação, o repasse do PNAE caiu em termos reais entre 2016 e 2022 (R$ 5,3 bi → R$ 4,1 bi em reais de 2025) e voltou a crescer (R$ 5,5 bi orçados em 2025); a renúncia do ProUni passou de R$ 3,4 bi para R$ 3,6 bi (reais de 2025, 2025 projetado); o impacto primário do Fies caiu de R$ 10,9 bi (2016) para R$ 0,8 bi (2022) e R$ 2,2 bi (2025), refletindo o encolhimento do programa após 2016.</t>
  </si>
  <si>
    <t xml:space="preserve">■ 6. Leitura de conjunto e cautelas</t>
  </si>
  <si>
    <t xml:space="preserve">2016 é o fundo da recessão (déficit recorde, desemprego alto, juros altos); 2019 mostra ajuste lento sob o teto de gastos, com investimento e crédito público no mínimo; 2022 combina superávit primário e forte arrecadação ligados a commodities, com investimento público muito baixo; 2025 traz expansão do gasto social, do BNDES e do Plano Safra, emprego recorde e a maior carga de juros e dívida do período. Ver quebras de série (Caged 2020), estimativas (estoque de emprego 2016, aprovações BNDES 2022, gastos tributários 2025) e itens não localizados na aba 'Fontes e metodologia'.</t>
  </si>
  <si>
    <t xml:space="preserve">Indicadores consolidados – Brasil 2016 × 2019 × 2022 × 2025</t>
  </si>
  <si>
    <t xml:space="preserve">Valores vinculados às abas temáticas (texto verde). R$ bilhões correntes salvo indicação; correção pelo IPCA até dez/2025.</t>
  </si>
  <si>
    <t xml:space="preserve">Código</t>
  </si>
  <si>
    <t xml:space="preserve">Conceito</t>
  </si>
  <si>
    <t xml:space="preserve">Âmbito</t>
  </si>
  <si>
    <t xml:space="preserve">Unidade</t>
  </si>
  <si>
    <t xml:space="preserve">Brasil 2016</t>
  </si>
  <si>
    <t xml:space="preserve">Brasil 2019</t>
  </si>
  <si>
    <t xml:space="preserve">Brasil 2022</t>
  </si>
  <si>
    <t xml:space="preserve">Brasil 2025</t>
  </si>
  <si>
    <t xml:space="preserve">2016 corrigido para preços de 2025</t>
  </si>
  <si>
    <t xml:space="preserve">2019 corrigido para preços de 2025</t>
  </si>
  <si>
    <t xml:space="preserve">2022 corrigido para preços de 2025</t>
  </si>
  <si>
    <t xml:space="preserve">Variação nominal 2019→2025</t>
  </si>
  <si>
    <t xml:space="preserve">Variação real 2016→2025</t>
  </si>
  <si>
    <t xml:space="preserve">Variação real 2019→2025</t>
  </si>
  <si>
    <t xml:space="preserve">Variação real 2022→2025</t>
  </si>
  <si>
    <t xml:space="preserve">2016 como % do PIB</t>
  </si>
  <si>
    <t xml:space="preserve">2019 como % do PIB</t>
  </si>
  <si>
    <t xml:space="preserve">2022 como % do PIB</t>
  </si>
  <si>
    <t xml:space="preserve">2025 como % do PIB</t>
  </si>
  <si>
    <t xml:space="preserve">Fonte 2016</t>
  </si>
  <si>
    <t xml:space="preserve">Fonte 2019</t>
  </si>
  <si>
    <t xml:space="preserve">Fonte 2022</t>
  </si>
  <si>
    <t xml:space="preserve">Fonte 2025</t>
  </si>
  <si>
    <t xml:space="preserve">Data de acesso</t>
  </si>
  <si>
    <t xml:space="preserve">Observações metodológicas</t>
  </si>
  <si>
    <t xml:space="preserve">1</t>
  </si>
  <si>
    <t xml:space="preserve">PIB total do Brasil</t>
  </si>
  <si>
    <t xml:space="preserve">PIB a preços de mercado, valores correntes (fluxo anual)</t>
  </si>
  <si>
    <t xml:space="preserve">Brasil</t>
  </si>
  <si>
    <t xml:space="preserve">R$ bi</t>
  </si>
  <si>
    <t xml:space="preserve">IBGE/SIDRA 1846 (S01)</t>
  </si>
  <si>
    <t xml:space="preserve">22/09/2026</t>
  </si>
  <si>
    <t xml:space="preserve">[OFICIAL] Soma dos 4 trimestres. Divulgação original de 2025: R$ 12,7 tri (S02); Tesouro usa R$ 12.733,6 bi (série anterior).</t>
  </si>
  <si>
    <t xml:space="preserve">2</t>
  </si>
  <si>
    <t xml:space="preserve">PIB da agropecuária</t>
  </si>
  <si>
    <t xml:space="preserve">VAB – Agropecuária total</t>
  </si>
  <si>
    <t xml:space="preserve">[OFICIAL] —</t>
  </si>
  <si>
    <t xml:space="preserve">3</t>
  </si>
  <si>
    <t xml:space="preserve">PIB da indústria</t>
  </si>
  <si>
    <t xml:space="preserve">VAB – Indústria total</t>
  </si>
  <si>
    <t xml:space="preserve">[OFICIAL] Extrativa + transformação + eletricidade/gás/água/esgoto + construção.</t>
  </si>
  <si>
    <t xml:space="preserve">4</t>
  </si>
  <si>
    <t xml:space="preserve">PIB dos serviços</t>
  </si>
  <si>
    <t xml:space="preserve">VAB – Serviços total</t>
  </si>
  <si>
    <t xml:space="preserve">5</t>
  </si>
  <si>
    <t xml:space="preserve">PIB das atividades financeiras, de seguros e serviços relacionados</t>
  </si>
  <si>
    <t xml:space="preserve">VAB</t>
  </si>
  <si>
    <t xml:space="preserve">[OFICIAL] Separadas dos demais serviços, conforme solicitado.</t>
  </si>
  <si>
    <t xml:space="preserve">6</t>
  </si>
  <si>
    <t xml:space="preserve">PIB dos serviços não financeiros</t>
  </si>
  <si>
    <t xml:space="preserve">Serviços totais − atividades financeiras (cálculo)</t>
  </si>
  <si>
    <t xml:space="preserve">Cálculo sobre S01</t>
  </si>
  <si>
    <t xml:space="preserve">[ESTIMADO] Calculado na planilha: VAB serviços − VAB financeiro (mesma fonte e conceito).</t>
  </si>
  <si>
    <t xml:space="preserve">7a</t>
  </si>
  <si>
    <t xml:space="preserve">VAB da atividade ÷ PIB</t>
  </si>
  <si>
    <t xml:space="preserve">%</t>
  </si>
  <si>
    <t xml:space="preserve">n.a.</t>
  </si>
  <si>
    <t xml:space="preserve">7b</t>
  </si>
  <si>
    <t xml:space="preserve">7c</t>
  </si>
  <si>
    <t xml:space="preserve">7d</t>
  </si>
  <si>
    <t xml:space="preserve">8</t>
  </si>
  <si>
    <t xml:space="preserve">Arrecadação da União</t>
  </si>
  <si>
    <t xml:space="preserve">Arrecadação total das receitas federais (RFB + outros órgãos), fluxo anual</t>
  </si>
  <si>
    <t xml:space="preserve">União</t>
  </si>
  <si>
    <t xml:space="preserve">Receita Federal (S29)</t>
  </si>
  <si>
    <t xml:space="preserve">Receita Federal (S12)</t>
  </si>
  <si>
    <t xml:space="preserve">[OFICIAL] Valores publicados como R$ 1,537 tri (2019) e R$ 2,886 tri (2025), sem mais casas decimais. Conceito distinto da 'receita total' do RTN (caixa do Tesouro). [2016/2022] 2016: R$ 1,289 tri; 2022: R$ 2,218 tri (publicados sem mais casas).</t>
  </si>
  <si>
    <t xml:space="preserve">9</t>
  </si>
  <si>
    <t xml:space="preserve">Gastos da União</t>
  </si>
  <si>
    <t xml:space="preserve">Despesas pagas no exercício, exceto intra-orçamentárias; inclui juros e amortização</t>
  </si>
  <si>
    <t xml:space="preserve">RREO Anexo 01 (S05)</t>
  </si>
  <si>
    <t xml:space="preserve">S05</t>
  </si>
  <si>
    <t xml:space="preserve">[OFICIAL] Não inclui restos a pagar pagos nem refinanciamento da dívida.</t>
  </si>
  <si>
    <t xml:space="preserve">10</t>
  </si>
  <si>
    <t xml:space="preserve">Receita primária do Governo Central</t>
  </si>
  <si>
    <t xml:space="preserve">Receita total (Tesouro + Previdência + BCB), caixa</t>
  </si>
  <si>
    <t xml:space="preserve">Governo Central</t>
  </si>
  <si>
    <t xml:space="preserve">STN – RTN tab. 2.1 (S04)</t>
  </si>
  <si>
    <t xml:space="preserve">S04</t>
  </si>
  <si>
    <t xml:space="preserve">10b</t>
  </si>
  <si>
    <t xml:space="preserve">Receita líquida do Governo Central</t>
  </si>
  <si>
    <t xml:space="preserve">Receita total − transferências por repartição</t>
  </si>
  <si>
    <t xml:space="preserve">11</t>
  </si>
  <si>
    <t xml:space="preserve">Despesa primária do Governo Central</t>
  </si>
  <si>
    <t xml:space="preserve">Despesa total primária (RTN), caixa</t>
  </si>
  <si>
    <t xml:space="preserve">12</t>
  </si>
  <si>
    <t xml:space="preserve">Despesa total do Governo Central</t>
  </si>
  <si>
    <t xml:space="preserve">Soma: despesa primária (caixa, STN) + juros nominais (competência, BCB)</t>
  </si>
  <si>
    <t xml:space="preserve">Cálculo S04</t>
  </si>
  <si>
    <t xml:space="preserve">[APROXIMAÇÃO] Indicador sem publicação oficial única. Soma critérios diferentes (caixa × competência); usar apenas como ordem de grandeza. Ver também o déficit nominal oficial na linha seguinte.</t>
  </si>
  <si>
    <t xml:space="preserve">13</t>
  </si>
  <si>
    <t xml:space="preserve">Dívida Pública Federal</t>
  </si>
  <si>
    <t xml:space="preserve">Estoque em 31/dez (interna + externa)</t>
  </si>
  <si>
    <t xml:space="preserve">Tesouro – RMD (S30)</t>
  </si>
  <si>
    <t xml:space="preserve">Tesouro – RMD (S11)</t>
  </si>
  <si>
    <t xml:space="preserve">S11</t>
  </si>
  <si>
    <t xml:space="preserve">[OFICIAL] Estoque; não somar com fluxos.</t>
  </si>
  <si>
    <t xml:space="preserve">14</t>
  </si>
  <si>
    <t xml:space="preserve">Dívida Bruta do Governo Geral</t>
  </si>
  <si>
    <t xml:space="preserve">Estoque em dez (União + estados + municípios; exclui BCB e estatais)</t>
  </si>
  <si>
    <t xml:space="preserve">Governo Geral</t>
  </si>
  <si>
    <t xml:space="preserve">BCB SGS (S08)</t>
  </si>
  <si>
    <t xml:space="preserve">BCB SGS 13761 (S08)</t>
  </si>
  <si>
    <t xml:space="preserve">S08</t>
  </si>
  <si>
    <t xml:space="preserve">[OFICIAL] DBGG ≠ DPF: inclui dívida de estados/municípios e operações compromissadas do BCB; exclui títulos na carteira do BCB.</t>
  </si>
  <si>
    <t xml:space="preserve">15</t>
  </si>
  <si>
    <t xml:space="preserve">Dívida Líquida do Setor Público</t>
  </si>
  <si>
    <t xml:space="preserve">Estoque em dez (setor público consolidado, inclui BCB e estatais não financeiras)</t>
  </si>
  <si>
    <t xml:space="preserve">Setor público consolidado</t>
  </si>
  <si>
    <t xml:space="preserve">BCB SGS 4478 (S08)</t>
  </si>
  <si>
    <t xml:space="preserve">16</t>
  </si>
  <si>
    <t xml:space="preserve">Renúncias fiscais e gastos tributários</t>
  </si>
  <si>
    <t xml:space="preserve">2019: benefícios tributários efetivos (OSU). 2025: última projeção oficial (DGT Bases Efetivas)</t>
  </si>
  <si>
    <t xml:space="preserve">Fazenda – OSU 1ª ed. (S36)</t>
  </si>
  <si>
    <t xml:space="preserve">OSU 4ª ed. (S13)</t>
  </si>
  <si>
    <t xml:space="preserve">MPO – OSU (S36)</t>
  </si>
  <si>
    <t xml:space="preserve">RFB via Nota Técnica PLOA 2026 (S14)</t>
  </si>
  <si>
    <t xml:space="preserve">[ESTIMADO] 2025 é projeção (não realizado): 612,8 − 25,4 = 587,4 (4,40% PIB). Estimativa do PLOA 2025 = 544,4 (612,8 − 68,4). 2019 é valor efetivo. Divergência = diferença entre estimativa ex ante e apuração ex post. [2016/2022] 2016 e 2022 são valores apurados (ex post); 2016 da 1ª edição do OSU, sujeito a revisão.</t>
  </si>
  <si>
    <t xml:space="preserve">17</t>
  </si>
  <si>
    <t xml:space="preserve">Benefícios financeiros e creditícios</t>
  </si>
  <si>
    <t xml:space="preserve">Subsídios explícitos (financeiros) + implícitos (creditícios)</t>
  </si>
  <si>
    <t xml:space="preserve">Fazenda – OSU (S36)</t>
  </si>
  <si>
    <t xml:space="preserve">OSU 4ª ed. (S13) – 11,5% × R$ 348,3 bi</t>
  </si>
  <si>
    <t xml:space="preserve">Estimativa do Executivo – PLOA 2026 (S14)</t>
  </si>
  <si>
    <t xml:space="preserve">[ESTIMADO] 2019: 11,5% de R$ 348,3 bi (cálculo sobre dado oficial). 2025: estimativa do Poder Executivo, não apuração. Em 2024 (realizado, OSU 9ª ed.) financeiros+creditícios = 16,9% de R$ 678 bi ≈ R$ 114,6 bi — ordem de grandeza menor que a estimativa de 2025. [2016/2022] 2016 e 2022 apurados; 2016 inflado por subsídios implícitos do BNDES/FIES.</t>
  </si>
  <si>
    <t xml:space="preserve">18</t>
  </si>
  <si>
    <t xml:space="preserve">Juros nominais pagos (União, orçamento)</t>
  </si>
  <si>
    <t xml:space="preserve">GND 2, valor pago no exercício (caixa)</t>
  </si>
  <si>
    <t xml:space="preserve">[OFICIAL] Pagamento orçamentário; difere dos juros apropriados (competência) do BCB. Não há estatística oficial de juros 'pagos' do setor público consolidado.</t>
  </si>
  <si>
    <t xml:space="preserve">19</t>
  </si>
  <si>
    <t xml:space="preserve">Juros nominais líquidos (setor público consolidado)</t>
  </si>
  <si>
    <t xml:space="preserve">Competência, líquidos de juros ativos (BCB/NFSP)</t>
  </si>
  <si>
    <t xml:space="preserve">BCB (S31)</t>
  </si>
  <si>
    <t xml:space="preserve">BCB via Agência Brasil (S09)</t>
  </si>
  <si>
    <t xml:space="preserve">BCB via Poder360 (S10)</t>
  </si>
  <si>
    <t xml:space="preserve">[OFICIAL] Governo Central (juros nominais BCB): 310,1 (2019) e 891,9 (2025) – ver aba Despesas. 2025 inclui ganho de R$ 105,9 bi com swaps cambiais (redutor).</t>
  </si>
  <si>
    <t xml:space="preserve">20</t>
  </si>
  <si>
    <t xml:space="preserve">Amortizações da dívida</t>
  </si>
  <si>
    <t xml:space="preserve">GND 6, pago no exercício</t>
  </si>
  <si>
    <t xml:space="preserve">[OFICIAL] Fluxo; não confundir com refinanciamento (rolagem com emissão de títulos).</t>
  </si>
  <si>
    <t xml:space="preserve">21</t>
  </si>
  <si>
    <t xml:space="preserve">Refinanciamento da dívida</t>
  </si>
  <si>
    <t xml:space="preserve">Amortização paga com recursos de emissão de títulos (rolagem)</t>
  </si>
  <si>
    <t xml:space="preserve">[OFICIAL] Dotação inicial: 714,09 (2019) e 1.655,91 (2025).</t>
  </si>
  <si>
    <t xml:space="preserve">22</t>
  </si>
  <si>
    <t xml:space="preserve">Investimentos previstos na LOA</t>
  </si>
  <si>
    <t xml:space="preserve">Dotação inicial (LOA) – Investimentos (GND 4)</t>
  </si>
  <si>
    <t xml:space="preserve">[OFICIAL] Exclui intra-orçamentárias.</t>
  </si>
  <si>
    <t xml:space="preserve">23</t>
  </si>
  <si>
    <t xml:space="preserve">Investimentos empenhados</t>
  </si>
  <si>
    <t xml:space="preserve">Empenhado – Investimentos (GND 4)</t>
  </si>
  <si>
    <t xml:space="preserve">24</t>
  </si>
  <si>
    <t xml:space="preserve">Investimentos pagos</t>
  </si>
  <si>
    <t xml:space="preserve">Pago – Investimentos (GND 4)</t>
  </si>
  <si>
    <t xml:space="preserve">[OFICIAL] Pago do exercício (sem RAP).</t>
  </si>
  <si>
    <t xml:space="preserve">25</t>
  </si>
  <si>
    <t xml:space="preserve">Saúde prevista na LOA</t>
  </si>
  <si>
    <t xml:space="preserve">Dotação inicial (LOA) – Saúde (função 10)</t>
  </si>
  <si>
    <t xml:space="preserve">RREO Anexo 02 (S06)</t>
  </si>
  <si>
    <t xml:space="preserve">26a</t>
  </si>
  <si>
    <t xml:space="preserve">Saúde empenhada</t>
  </si>
  <si>
    <t xml:space="preserve">Empenhado – Saúde (função 10)</t>
  </si>
  <si>
    <t xml:space="preserve">26b</t>
  </si>
  <si>
    <t xml:space="preserve">Saúde paga</t>
  </si>
  <si>
    <t xml:space="preserve">Pago – Saúde (função 10)</t>
  </si>
  <si>
    <t xml:space="preserve">Portal da Transparência (S07)</t>
  </si>
  <si>
    <t xml:space="preserve">[OFICIAL] Pago segundo o Portal da Transparência: inclui restos a pagar pagos no ano e classificação por função do Portal; pode divergir do RREO (critérios distintos).</t>
  </si>
  <si>
    <t xml:space="preserve">27</t>
  </si>
  <si>
    <t xml:space="preserve">Educação prevista na LOA</t>
  </si>
  <si>
    <t xml:space="preserve">Dotação inicial (LOA) – Educação (função 12)</t>
  </si>
  <si>
    <t xml:space="preserve">28a</t>
  </si>
  <si>
    <t xml:space="preserve">Educação empenhada</t>
  </si>
  <si>
    <t xml:space="preserve">Empenhado – Educação (função 12)</t>
  </si>
  <si>
    <t xml:space="preserve">28b</t>
  </si>
  <si>
    <t xml:space="preserve">Educação paga</t>
  </si>
  <si>
    <t xml:space="preserve">Pago – Educação (função 12)</t>
  </si>
  <si>
    <t xml:space="preserve">29</t>
  </si>
  <si>
    <t xml:space="preserve">Segurança pública prevista na LOA</t>
  </si>
  <si>
    <t xml:space="preserve">Dotação inicial (LOA) – Segurança pública (função 06)</t>
  </si>
  <si>
    <t xml:space="preserve">30a</t>
  </si>
  <si>
    <t xml:space="preserve">Segurança pública empenhada</t>
  </si>
  <si>
    <t xml:space="preserve">Empenhado – Segurança pública (função 06)</t>
  </si>
  <si>
    <t xml:space="preserve">30b</t>
  </si>
  <si>
    <t xml:space="preserve">Segurança pública paga</t>
  </si>
  <si>
    <t xml:space="preserve">Pago – Segurança pública (função 06)</t>
  </si>
  <si>
    <t xml:space="preserve">31</t>
  </si>
  <si>
    <t xml:space="preserve">Previdência prevista na LOA</t>
  </si>
  <si>
    <t xml:space="preserve">Dotação inicial (LOA) – Previdência Social (função 09)</t>
  </si>
  <si>
    <t xml:space="preserve">32a</t>
  </si>
  <si>
    <t xml:space="preserve">Previdência empenhada</t>
  </si>
  <si>
    <t xml:space="preserve">Empenhado – Previdência Social (função 09)</t>
  </si>
  <si>
    <t xml:space="preserve">32b</t>
  </si>
  <si>
    <t xml:space="preserve">Previdência paga</t>
  </si>
  <si>
    <t xml:space="preserve">Pago – Previdência Social (função 09)</t>
  </si>
  <si>
    <t xml:space="preserve">[OFICIAL] Pago segundo o Portal da Transparência: inclui restos a pagar pagos no ano e classificação por função do Portal; pode divergir do RREO (critérios distintos). Em 2019 o pago do Portal (668,96) fica abaixo do liquidado do RREO (725,89): o Portal reclassifica parte dos benefícios; prefira o liquidado/RTN para comparação.</t>
  </si>
  <si>
    <t xml:space="preserve">33</t>
  </si>
  <si>
    <t xml:space="preserve">Políticas afirmativas previstas (orçamento atualizado)</t>
  </si>
  <si>
    <t xml:space="preserve">Orçamento atualizado (proxy de 'previsto')</t>
  </si>
  <si>
    <t xml:space="preserve">R$ mi</t>
  </si>
  <si>
    <t xml:space="preserve">Portal – Programa 2034 (S07)</t>
  </si>
  <si>
    <t xml:space="preserve">Sem programa específico no PPA 2020–23</t>
  </si>
  <si>
    <t xml:space="preserve">Portal – Programa 5804 (S07)</t>
  </si>
  <si>
    <t xml:space="preserve">[APROXIMAÇÃO] Programa 2034 'Promoção da Igualdade Racial e Superação do Racismo' (PPA 2016–19) × 5804 'Promoção da Igualdade Étnico-Racial, Combate e Superação do Racismo' (PPA 2024–27). Programas diferentes; dotação inicial não localizada.</t>
  </si>
  <si>
    <t xml:space="preserve">34a</t>
  </si>
  <si>
    <t xml:space="preserve">Políticas afirmativas empenhadas</t>
  </si>
  <si>
    <t xml:space="preserve">Empenhado – Políticas afirmativas – programa de igualdade racial</t>
  </si>
  <si>
    <t xml:space="preserve">S07</t>
  </si>
  <si>
    <t xml:space="preserve">[APROXIMAÇÃO] Mesmo recorte da linha acima.</t>
  </si>
  <si>
    <t xml:space="preserve">34b</t>
  </si>
  <si>
    <t xml:space="preserve">Políticas afirmativas pagas</t>
  </si>
  <si>
    <t xml:space="preserve">Pago no exercício (sem RAP)</t>
  </si>
  <si>
    <t xml:space="preserve">[APROXIMAÇÃO] RAP pagos no ano: 9,25 (2019) e 22,73 (2025). [2016/2022] 2016: RAP pagos no ano R$ 23,83 mi.</t>
  </si>
  <si>
    <t xml:space="preserve">34c</t>
  </si>
  <si>
    <t xml:space="preserve">Transferência de renda – Bolsa Família/Auxílio Brasil (pago)</t>
  </si>
  <si>
    <t xml:space="preserve">Portal da Transparência – ação 8442 (S40)</t>
  </si>
  <si>
    <t xml:space="preserve">Portal da Transparência – ação 21DP – Auxílio Brasil (S40)</t>
  </si>
  <si>
    <t xml:space="preserve">[OFICIAL] 2022 = ação 21DP (Auxílio Brasil, inclui o adicional de R$ 200 aprovado pela EC 123/2022). 2025 = novo Bolsa Família (Lei 14.601/2023).</t>
  </si>
  <si>
    <t xml:space="preserve">34d</t>
  </si>
  <si>
    <t xml:space="preserve">BPC/LOAS (pago, RTN)</t>
  </si>
  <si>
    <t xml:space="preserve">RTN, caixa (idosos e pessoas com deficiência de baixa renda)</t>
  </si>
  <si>
    <t xml:space="preserve">[OFICIAL] Mesma série da aba 'Despesas públicas' (linha 11.3).</t>
  </si>
  <si>
    <t xml:space="preserve">34e</t>
  </si>
  <si>
    <t xml:space="preserve">Assistência estudantil – PNAES (pago)</t>
  </si>
  <si>
    <t xml:space="preserve">Portal da Transparência – ação 4002 (S40)</t>
  </si>
  <si>
    <t xml:space="preserve">34f</t>
  </si>
  <si>
    <t xml:space="preserve">Políticas afirmativas e de apoio – subtotal pago</t>
  </si>
  <si>
    <t xml:space="preserve">Soma de PA.1 + PA.3 + PA.4 + PA.5 + PA.6 (mesma fonte e conceito)</t>
  </si>
  <si>
    <t xml:space="preserve">Cálculo sobre S40</t>
  </si>
  <si>
    <t xml:space="preserve">[ESTIMADO] Não inclui BPC (fonte RTN, critério distinto), Auxílio Gás e Pé-de-Meia (orçamento/previsão). Para incluir o BPC, somar PA.2 só como ordem de grandeza.</t>
  </si>
  <si>
    <t xml:space="preserve">34g</t>
  </si>
  <si>
    <t xml:space="preserve">Alimentação escolar – PNAE (repasse)</t>
  </si>
  <si>
    <t xml:space="preserve">Repasse do FNDE às redes estaduais, distrital e municipais</t>
  </si>
  <si>
    <t xml:space="preserve">União → subnacionais</t>
  </si>
  <si>
    <t xml:space="preserve">FNDE – Dados físicos e financeiros do PNAE (S45)</t>
  </si>
  <si>
    <t xml:space="preserve">Orçamento estimado – MEC/Agência Gov (S45)</t>
  </si>
  <si>
    <t xml:space="preserve">[OFICIAL] 2016–2022: valores repassados (FNDE). 2025: orçamento estimado do programa (R$ 5,5 bi), não repasse apurado; em 2023 o repasse foi R$ 5,26 bi. Exclui a rede federal (R$ 10,8 mi, 22,2 mi e 34,1 mi pagos em 2016, 2019 e 2022).</t>
  </si>
  <si>
    <t xml:space="preserve">34h</t>
  </si>
  <si>
    <t xml:space="preserve">Fies – impacto primário</t>
  </si>
  <si>
    <t xml:space="preserve">RTN, linha 4.3.18 (caixa)</t>
  </si>
  <si>
    <t xml:space="preserve">[OFICIAL] Não é o valor financiado: mede só o efeito primário (subsídio implícito/risco). A concessão de financiamentos (ação 00IG, inversão financeira) não pôde ser obtida no Portal (verificação humana). Nota Técnica Conof/CD 26/2021 (S46): concessão de financiamentos paga, incl. restos a pagar, em R$ de 2021 = 23,8 bi (2016) e 9,7 bi (2019).</t>
  </si>
  <si>
    <t xml:space="preserve">34i</t>
  </si>
  <si>
    <t xml:space="preserve">ProUni – renúncia tributária</t>
  </si>
  <si>
    <t xml:space="preserve">Demonstrativo de Gastos Tributários – bases efetivas</t>
  </si>
  <si>
    <t xml:space="preserve">RFB – DGT Bases Efetivas 2016 (S47)</t>
  </si>
  <si>
    <t xml:space="preserve">RFB – DGT Bases Efetivas 2019 (S47)</t>
  </si>
  <si>
    <t xml:space="preserve">RFB – DGT Bases Efetivas 2022 (S47)</t>
  </si>
  <si>
    <t xml:space="preserve">RFB – projeção no DGT Bases Efetivas 2022 (S47)</t>
  </si>
  <si>
    <t xml:space="preserve">[OFICIAL] Renúncia (não é despesa orçamentária). 2025 é projeção da Receita Federal, não valor apurado.</t>
  </si>
  <si>
    <t xml:space="preserve">35</t>
  </si>
  <si>
    <t xml:space="preserve">Desembolsos anuais do BNDES</t>
  </si>
  <si>
    <t xml:space="preserve">Fluxo de desembolsos do Sistema BNDES</t>
  </si>
  <si>
    <t xml:space="preserve">BNDES (fora da LOA)</t>
  </si>
  <si>
    <t xml:space="preserve">BNDES (S32)</t>
  </si>
  <si>
    <t xml:space="preserve">BNDES via Estado de Minas/Agência Brasil (S20)</t>
  </si>
  <si>
    <t xml:space="preserve">BNDES – Relatório Anual 2022 (S32)</t>
  </si>
  <si>
    <t xml:space="preserve">BNDES via Agência Brasil (S20)</t>
  </si>
  <si>
    <t xml:space="preserve">[OFICIAL] Desembolsos do BNDES não são despesa da LOA (funding próprio, FAT, Tesouro).</t>
  </si>
  <si>
    <t xml:space="preserve">36</t>
  </si>
  <si>
    <t xml:space="preserve">Aprovações anuais do BNDES</t>
  </si>
  <si>
    <t xml:space="preserve">Operações de crédito aprovadas</t>
  </si>
  <si>
    <t xml:space="preserve">BNDES</t>
  </si>
  <si>
    <t xml:space="preserve">BNDES via MEON (S32)</t>
  </si>
  <si>
    <t xml:space="preserve">S20</t>
  </si>
  <si>
    <t xml:space="preserve">Estimativa a partir de variações BNDES (S32)</t>
  </si>
  <si>
    <t xml:space="preserve">[OFICIAL] 2025 por setor (aprovações): infraestrutura 71,4; indústria 71,0; agropecuária 54,3; comércio e serviços 41,2. [2016/2022] 2022 é estimativa (≈ 175/1,32 ≈ 237,9/1,80).</t>
  </si>
  <si>
    <t xml:space="preserve">37</t>
  </si>
  <si>
    <t xml:space="preserve">P&amp;D no orçamento federal (função C&amp;T, empenhado)</t>
  </si>
  <si>
    <t xml:space="preserve">Empenhado – P&amp;D no orçamento federal – função Ciência e Tecnologia (19)</t>
  </si>
  <si>
    <t xml:space="preserve">38</t>
  </si>
  <si>
    <t xml:space="preserve">P&amp;D realizado (dispêndio nacional, % PIB)</t>
  </si>
  <si>
    <t xml:space="preserve">Governo + empresas + ESFL</t>
  </si>
  <si>
    <t xml:space="preserve">MCTI via World Bank WDI (S22)</t>
  </si>
  <si>
    <t xml:space="preserve">Último dado: 2023 (S22)</t>
  </si>
  <si>
    <t xml:space="preserve">[APROXIMAÇÃO] Não há dado para 2025; a coluna 2025 traz o valor de 2023. [2016/2022] 2016 e 2022 são dados observados.</t>
  </si>
  <si>
    <t xml:space="preserve">39</t>
  </si>
  <si>
    <t xml:space="preserve">Valor total do Plano Safra</t>
  </si>
  <si>
    <t xml:space="preserve">Ciclo 2019/20 (jul/2019–jun/2020) × ciclo 2025/26 (jul/2025–jun/2026)</t>
  </si>
  <si>
    <t xml:space="preserve">União (crédito rural)</t>
  </si>
  <si>
    <t xml:space="preserve">Cálculo: PAP + PSAF (S35)</t>
  </si>
  <si>
    <t xml:space="preserve">MAPA (S21)</t>
  </si>
  <si>
    <t xml:space="preserve">MAPA (S35)</t>
  </si>
  <si>
    <t xml:space="preserve">MAPA + MDA (S21)</t>
  </si>
  <si>
    <t xml:space="preserve">[APROXIMAÇÃO] Ano-safra não coincide com o ano civil. Valores anunciados (disponibilidade), não contratados. 2025/26 = empresarial 516,2 + agricultura familiar 89,0. [2016/2022] 2016/17 = PAP 202,88 (anúncio; ajustado para 185) + agricultura familiar 30,0. 2022/23 = 340,88 (inclui Pronaf).</t>
  </si>
  <si>
    <t xml:space="preserve">40</t>
  </si>
  <si>
    <t xml:space="preserve">Estoque de empregos formais</t>
  </si>
  <si>
    <t xml:space="preserve">Estoque em 31/dez (vínculos celetistas)</t>
  </si>
  <si>
    <t xml:space="preserve">pessoas</t>
  </si>
  <si>
    <t xml:space="preserve">Estimativa sobre Caged (S33)</t>
  </si>
  <si>
    <t xml:space="preserve">Caged antigo (S16)</t>
  </si>
  <si>
    <t xml:space="preserve">Novo Caged (S33)</t>
  </si>
  <si>
    <t xml:space="preserve">Novo Caged (S15)</t>
  </si>
  <si>
    <t xml:space="preserve">[APROXIMAÇÃO] Quebra metodológica: Caged antigo (2019) × Novo Caged/eSocial (2025). 2025: 48.474.348 exclui estatutários da RAIS; 'estoque total recuperado' = 49.090.182. [2016/2022] 2016 estimado: 462.366 ÷ 1,19% − 462.366 (saldo de dezembro e variação relativa publicados).</t>
  </si>
  <si>
    <t xml:space="preserve">41</t>
  </si>
  <si>
    <t xml:space="preserve">Admissões formais</t>
  </si>
  <si>
    <t xml:space="preserve">Fluxo anual (jan–dez)</t>
  </si>
  <si>
    <t xml:space="preserve">Caged via Agência Brasil (S33)</t>
  </si>
  <si>
    <t xml:space="preserve">S16</t>
  </si>
  <si>
    <t xml:space="preserve">S15</t>
  </si>
  <si>
    <t xml:space="preserve">[APROXIMAÇÃO] Novo Caged capta mais movimentações (temporários, intermitentes) – níveis de admissões/desligamentos não são comparáveis diretamente. [2016/2022] 2016 publicado arredondado (14,7 mi).</t>
  </si>
  <si>
    <t xml:space="preserve">42</t>
  </si>
  <si>
    <t xml:space="preserve">Desligamentos formais</t>
  </si>
  <si>
    <t xml:space="preserve">[APROXIMAÇÃO] Idem. [2016/2022] 2016 publicado arredondado (16,1 mi).</t>
  </si>
  <si>
    <t xml:space="preserve">43</t>
  </si>
  <si>
    <t xml:space="preserve">Saldo anual de empregos formais</t>
  </si>
  <si>
    <t xml:space="preserve">Admissões − desligamentos (saldo acumulado no ano)</t>
  </si>
  <si>
    <t xml:space="preserve">Caged (S33)</t>
  </si>
  <si>
    <t xml:space="preserve">[OFICIAL] Calculado na planilha e idêntico ao publicado (644.079 e 1.279.498). [2016/2022] 2016: saldo publicado (não calculado, pois admissões/desligamentos estão arredondados).</t>
  </si>
  <si>
    <t xml:space="preserve">44</t>
  </si>
  <si>
    <t xml:space="preserve">Taxa média anual de desemprego</t>
  </si>
  <si>
    <t xml:space="preserve">PNAD Contínua – média anual</t>
  </si>
  <si>
    <t xml:space="preserve">IBGE (S34)</t>
  </si>
  <si>
    <t xml:space="preserve">IBGE (S17)</t>
  </si>
  <si>
    <t xml:space="preserve">[OFICIAL] Publicado. Série atual do SIDRA 4099 (média dos 4 trimestres, após reponderação): 12,0% (2019) e 5,9% (2025).</t>
  </si>
  <si>
    <t xml:space="preserve">45</t>
  </si>
  <si>
    <t xml:space="preserve">Investimentos privados/industriais (anunciados – NIB)</t>
  </si>
  <si>
    <t xml:space="preserve">Anúncios plurianuais</t>
  </si>
  <si>
    <t xml:space="preserve">Setor privado</t>
  </si>
  <si>
    <t xml:space="preserve">Programa inexistente</t>
  </si>
  <si>
    <t xml:space="preserve">Sem programa/painel equivalente em 2019</t>
  </si>
  <si>
    <t xml:space="preserve">MDIC (S26)</t>
  </si>
  <si>
    <t xml:space="preserve">[APROXIMAÇÃO] Anúncio ≠ contratado ≠ realizado. Valor acumulado de anúncios de 2024 até fev/2025 para vários anos; não é fluxo de 2025.</t>
  </si>
  <si>
    <t xml:space="preserve">45b</t>
  </si>
  <si>
    <t xml:space="preserve">Investimento realizado – FBCF</t>
  </si>
  <si>
    <t xml:space="preserve">Contas Nacionais, valores correntes</t>
  </si>
  <si>
    <t xml:space="preserve">Brasil (público + privado)</t>
  </si>
  <si>
    <t xml:space="preserve">[OFICIAL] Investimento efetivamente realizado; inclui governo e estatais – o IBGE não separa FBCF privada na série trimestral.</t>
  </si>
  <si>
    <t xml:space="preserve">46</t>
  </si>
  <si>
    <t xml:space="preserve">Investimento estrangeiro direto</t>
  </si>
  <si>
    <t xml:space="preserve">Ingressos líquidos, BPM6, fluxo anual</t>
  </si>
  <si>
    <t xml:space="preserve">US$ bi</t>
  </si>
  <si>
    <t xml:space="preserve">n.a. (US$)</t>
  </si>
  <si>
    <t xml:space="preserve">BCB SGS 22885 (S08)</t>
  </si>
  <si>
    <t xml:space="preserve">[OFICIAL] 2019 divulgado originalmente: US$ 78,559 bi (S27); série atual revisada: 69,17. 2025: 3,41% do PIB segundo o BCB.</t>
  </si>
  <si>
    <t xml:space="preserve">47</t>
  </si>
  <si>
    <t xml:space="preserve">Exportações</t>
  </si>
  <si>
    <t xml:space="preserve">FOB, fluxo anual</t>
  </si>
  <si>
    <t xml:space="preserve">Comex Stat (S18)</t>
  </si>
  <si>
    <t xml:space="preserve">Comex Stat – série revisada (S18)</t>
  </si>
  <si>
    <t xml:space="preserve">[OFICIAL] Divulgação original 2019: US$ 224,01 bi. Revisão posterior da Secex (ajustes de registros, ex.: plataformas de petróleo/Repetro).</t>
  </si>
  <si>
    <t xml:space="preserve">48</t>
  </si>
  <si>
    <t xml:space="preserve">Importações</t>
  </si>
  <si>
    <t xml:space="preserve">S18</t>
  </si>
  <si>
    <t xml:space="preserve">[OFICIAL] Divulgação original 2019: US$ 177,34 bi; 2025 divulgado US$ 280,4 bi.</t>
  </si>
  <si>
    <t xml:space="preserve">49</t>
  </si>
  <si>
    <t xml:space="preserve">Saldo da balança comercial</t>
  </si>
  <si>
    <t xml:space="preserve">Exportações − importações</t>
  </si>
  <si>
    <t xml:space="preserve">Cálculo S18</t>
  </si>
  <si>
    <t xml:space="preserve">[OFICIAL] Original 2019: US$ 46,7 bi; revisado: US$ 35,2 bi. 2025 divulgado: US$ 68,3 bi.</t>
  </si>
  <si>
    <t xml:space="preserve">50</t>
  </si>
  <si>
    <t xml:space="preserve">Investimentos federais em infraestrutura</t>
  </si>
  <si>
    <t xml:space="preserve">Soma das funções Transporte, Saneamento, Urbanismo, Habitação, Energia e Comunicações – pago total no ano (RTN)</t>
  </si>
  <si>
    <t xml:space="preserve">Cálculo RTN tab. 2.3 (S04)</t>
  </si>
  <si>
    <t xml:space="preserve">Cálculo STN – RTN tab. 2.3 (S04)</t>
  </si>
  <si>
    <t xml:space="preserve">[ESTIMADO] Agregação própria (mesma fonte e conceito). 2019: 7,834+1,157+3,176+0,047+0,062+0,089; 2025: 13,607+0,612+5,965+0,552+0,030+0,049. [2016/2022] 2016: 10,787+1,756+3,139+0,105+0,042+0,045; 2022: 7,147+0,342+5,622+0,025+0,056+0,184.</t>
  </si>
  <si>
    <t xml:space="preserve">51</t>
  </si>
  <si>
    <t xml:space="preserve">Investimentos do PAC</t>
  </si>
  <si>
    <t xml:space="preserve">2025: dotação OGU do Novo PAC (100% empenhada)</t>
  </si>
  <si>
    <t xml:space="preserve">Senado (S39) – dotação aproximada</t>
  </si>
  <si>
    <t xml:space="preserve">Ver tentativas na aba 'Fontes e metodologia'</t>
  </si>
  <si>
    <t xml:space="preserve">—</t>
  </si>
  <si>
    <t xml:space="preserve">Casa Civil via Agência Gov (S23)</t>
  </si>
  <si>
    <t xml:space="preserve">[APROXIMAÇÃO] 2025 é dotação/empenho, não pagamento. Novo PAC (todas as fontes, inclusive privadas e estatais) somou R$ 944,8 bi executados de 2023 a ago/2025. [2016/2022] 2016: orçamento previsto do PAC ≈ R$ 42 bi (imprensa).</t>
  </si>
  <si>
    <t xml:space="preserve">52</t>
  </si>
  <si>
    <t xml:space="preserve">Investimentos em rodovias (empenhado)</t>
  </si>
  <si>
    <t xml:space="preserve">Empenhado – Rodovias – subfunção Transporte Rodoviário (782)</t>
  </si>
  <si>
    <t xml:space="preserve">53</t>
  </si>
  <si>
    <t xml:space="preserve">Investimentos em ferrovias (empenhado)</t>
  </si>
  <si>
    <t xml:space="preserve">Empenhado – Ferrovias – subfunção Transporte Ferroviário (783)</t>
  </si>
  <si>
    <t xml:space="preserve">54</t>
  </si>
  <si>
    <t xml:space="preserve">Investimentos em portos (empenhado)</t>
  </si>
  <si>
    <t xml:space="preserve">Empenhado – Portos – subfunção Transporte Hidroviário/Aquaviário (784)</t>
  </si>
  <si>
    <t xml:space="preserve">55</t>
  </si>
  <si>
    <t xml:space="preserve">Investimentos em aeroportos (empenhado)</t>
  </si>
  <si>
    <t xml:space="preserve">Empenhado – Aeroportos – subfunção Transporte Aéreo (781)</t>
  </si>
  <si>
    <t xml:space="preserve">56a</t>
  </si>
  <si>
    <t xml:space="preserve">Saneamento (empenhado)</t>
  </si>
  <si>
    <t xml:space="preserve">Empenhado – Saneamento (função 17)</t>
  </si>
  <si>
    <t xml:space="preserve">56b</t>
  </si>
  <si>
    <t xml:space="preserve">Mobilidade urbana (empenhado)</t>
  </si>
  <si>
    <t xml:space="preserve">Empenhado – Mobilidade – subfunção Transportes Coletivos Urbanos (453)</t>
  </si>
  <si>
    <t xml:space="preserve">Notas metodológicas</t>
  </si>
  <si>
    <t xml:space="preserve">1. 'Variação nominal 2019→2025' para taxas/percentuais = diferença em p.p.</t>
  </si>
  <si>
    <t xml:space="preserve">2. Linhas de LOA: 'previsto' = dotação inicial; 'empenhado' e 'pago' são estágios de execução – não somar.</t>
  </si>
  <si>
    <t xml:space="preserve">3. A classificação do dado aparece entre colchetes no início das observações e na cor da linha.</t>
  </si>
  <si>
    <t xml:space="preserve">4. Valores nominais do próprio ano (R$ bilhões, salvo indicação). Correção para R$ de dez/2025 pelo IPCA: fator = índice dez/2025 ÷ índice de dezembro do ano (FATOR_2016, FATOR_2019, FATOR_2022 na aba 'Resumo executivo').</t>
  </si>
  <si>
    <t xml:space="preserve">5. Colunas de variação: para valores em R$ = variação REAL (IPCA); para US$ e pessoas = variação nominal; para taxas e % = diferença em pontos percentuais (p.p.).</t>
  </si>
  <si>
    <t xml:space="preserve">6. % do PIB com o PIB anual do IBGE (SIDRA 1846) de cada ano; valores em US$ usam o PIB convertido pela PTAX média anual.</t>
  </si>
  <si>
    <t xml:space="preserve">7. 'n.a.' = não se aplica; 'n.d.' = não disponível (algum ano 'não localizado após busca'). Azul = dado digitado da fonte; preto = fórmula; verde = vínculo com outra aba.</t>
  </si>
  <si>
    <t xml:space="preserve">8. Cor da linha = classificação do dado em 2019/2025; células de 2016/2022 com cor própria quando a classificação difere (ex.: estimado, não localizado).</t>
  </si>
  <si>
    <t xml:space="preserve">9. Períodos 2016→2019, 2019→2022 e 2022→2025 correspondem aproximadamente aos mandatos Temer, Bolsonaro e Lula III (até 2025); 2016 inclui o governo Dilma até maio.</t>
  </si>
  <si>
    <t xml:space="preserve">PIB setorial – valor adicionado por atividade (valores correntes)</t>
  </si>
  <si>
    <t xml:space="preserve">IBGE, Contas Nacionais Trimestrais (SIDRA 1846), soma dos quatro trimestres de cada ano. Participações ao final.</t>
  </si>
  <si>
    <t xml:space="preserve">Conceito / estágio</t>
  </si>
  <si>
    <t xml:space="preserve">2016 em R$ de dez/2025</t>
  </si>
  <si>
    <t xml:space="preserve">2019 em R$ de dez/2025</t>
  </si>
  <si>
    <t xml:space="preserve">2022 em R$ de dez/2025</t>
  </si>
  <si>
    <t xml:space="preserve">Variação 2016→2019</t>
  </si>
  <si>
    <t xml:space="preserve">Variação 2019→2022</t>
  </si>
  <si>
    <t xml:space="preserve">Variação 2022→2025</t>
  </si>
  <si>
    <t xml:space="preserve">Variação 2016→2025</t>
  </si>
  <si>
    <t xml:space="preserve">Diferença absoluta 2025−2016 (nominal)</t>
  </si>
  <si>
    <t xml:space="preserve">Diferença absoluta 2025−2019 (nominal)</t>
  </si>
  <si>
    <t xml:space="preserve">2016 % do PIB</t>
  </si>
  <si>
    <t xml:space="preserve">2019 % do PIB</t>
  </si>
  <si>
    <t xml:space="preserve">2022 % do PIB</t>
  </si>
  <si>
    <t xml:space="preserve">2025 % do PIB</t>
  </si>
  <si>
    <t xml:space="preserve">Classificação do dado</t>
  </si>
  <si>
    <t xml:space="preserve">PIB total</t>
  </si>
  <si>
    <t xml:space="preserve">Soma dos 4 trimestres. Divulgação original de 2025: R$ 12,7 tri (S02); Tesouro usa R$ 12.733,6 bi (série anterior).</t>
  </si>
  <si>
    <t xml:space="preserve">1.1</t>
  </si>
  <si>
    <t xml:space="preserve">Valor adicionado bruto (VAB) a preços básicos</t>
  </si>
  <si>
    <t xml:space="preserve">Soma do VAB das atividades</t>
  </si>
  <si>
    <t xml:space="preserve">Base para participações setoriais usadas pelo IBGE.</t>
  </si>
  <si>
    <t xml:space="preserve">1.2</t>
  </si>
  <si>
    <t xml:space="preserve">Impostos líquidos sobre produtos</t>
  </si>
  <si>
    <t xml:space="preserve">PIB − VAB</t>
  </si>
  <si>
    <t xml:space="preserve">PIB da agropecuária (VAB)</t>
  </si>
  <si>
    <t xml:space="preserve">PIB da indústria (VAB)</t>
  </si>
  <si>
    <t xml:space="preserve">Extrativa + transformação + eletricidade/gás/água/esgoto + construção.</t>
  </si>
  <si>
    <t xml:space="preserve">3.1</t>
  </si>
  <si>
    <t xml:space="preserve">Indústrias extrativas</t>
  </si>
  <si>
    <t xml:space="preserve">3.2</t>
  </si>
  <si>
    <t xml:space="preserve">Indústrias de transformação</t>
  </si>
  <si>
    <t xml:space="preserve">3.3</t>
  </si>
  <si>
    <t xml:space="preserve">Eletricidade e gás, água, esgoto e resíduos</t>
  </si>
  <si>
    <t xml:space="preserve">3.4</t>
  </si>
  <si>
    <t xml:space="preserve">Construção</t>
  </si>
  <si>
    <t xml:space="preserve">PIB dos serviços (VAB)</t>
  </si>
  <si>
    <t xml:space="preserve">4.1</t>
  </si>
  <si>
    <t xml:space="preserve">Comércio</t>
  </si>
  <si>
    <t xml:space="preserve">4.2</t>
  </si>
  <si>
    <t xml:space="preserve">Transporte, armazenagem e correio</t>
  </si>
  <si>
    <t xml:space="preserve">4.3</t>
  </si>
  <si>
    <t xml:space="preserve">Informação e comunicação</t>
  </si>
  <si>
    <t xml:space="preserve">Atividades financeiras, de seguros e serviços relacionados</t>
  </si>
  <si>
    <t xml:space="preserve">Separadas dos demais serviços, conforme solicitado.</t>
  </si>
  <si>
    <t xml:space="preserve">4.4</t>
  </si>
  <si>
    <t xml:space="preserve">Atividades imobiliárias</t>
  </si>
  <si>
    <t xml:space="preserve">Inclui aluguel imputado.</t>
  </si>
  <si>
    <t xml:space="preserve">4.5</t>
  </si>
  <si>
    <t xml:space="preserve">Outras atividades de serviços</t>
  </si>
  <si>
    <t xml:space="preserve">4.6</t>
  </si>
  <si>
    <t xml:space="preserve">Administração, saúde e educação públicas e seguridade social</t>
  </si>
  <si>
    <t xml:space="preserve">[2016/2022] 2016 publicado arredondado (14,7 mi).</t>
  </si>
  <si>
    <t xml:space="preserve">Calculado na planilha: VAB serviços − VAB financeiro (mesma fonte e conceito).</t>
  </si>
  <si>
    <t xml:space="preserve">VAB da atividade ÷ PIB a preços de mercado</t>
  </si>
  <si>
    <t xml:space="preserve">Participação no VAB (critério IBGE): 2016: 5,66%; 2019: 4,89%; 2022: 6,65%; 2025: 7,08%.</t>
  </si>
  <si>
    <t xml:space="preserve">Participação no VAB (critério IBGE): 2016: 21,23%; 2019: 21,80%; 2022: 26,33%; 2025: 23,44%.</t>
  </si>
  <si>
    <t xml:space="preserve">7c'</t>
  </si>
  <si>
    <t xml:space="preserve">Participação dos serviços (total) no PIB</t>
  </si>
  <si>
    <t xml:space="preserve">Participação no VAB (critério IBGE): 2016: 73,11%; 2019: 73,31%; 2022: 67,02%; 2025: 69,48%.</t>
  </si>
  <si>
    <t xml:space="preserve">Participação das atividades financeiras no PIB</t>
  </si>
  <si>
    <t xml:space="preserve">Participação no VAB (critério IBGE): 2016: 7,85%; 2019: 7,24%; 2022: 6,98%; 2025: 8,49%.</t>
  </si>
  <si>
    <t xml:space="preserve">Participação no VAB (critério IBGE): 2016: 65,26%; 2019: 66,07%; 2022: 60,04%; 2025: 60,99%.</t>
  </si>
  <si>
    <t xml:space="preserve">1. Serviços não financeiros = VAB de serviços − VAB de atividades financeiras, de seguros e serviços relacionados.</t>
  </si>
  <si>
    <t xml:space="preserve">2. Participações sobre o PIB a preços de mercado; a observação traz a participação sobre o VAB.</t>
  </si>
  <si>
    <t xml:space="preserve">3. Série consultada em 22/09/2026; valores podem diferir das divulgações originais de cada ano.</t>
  </si>
  <si>
    <t xml:space="preserve">Receitas públicas – União e Governo Central</t>
  </si>
  <si>
    <t xml:space="preserve">Arrecadação federal (RFB), receitas do Governo Central (RTN/STN, caixa) e subsídios da União (OSU/PLOA).</t>
  </si>
  <si>
    <t xml:space="preserve">Arrecadação da União (receitas federais)</t>
  </si>
  <si>
    <t xml:space="preserve">Valores publicados como R$ 1,537 tri (2019) e R$ 2,886 tri (2025), sem mais casas decimais. Conceito distinto da 'receita total' do RTN (caixa do Tesouro). [2016/2022] 2016: R$ 1,289 tri; 2022: R$ 2,218 tri (publicados sem mais casas).</t>
  </si>
  <si>
    <t xml:space="preserve">8.1</t>
  </si>
  <si>
    <t xml:space="preserve">Receitas administradas pela RFB (RTN)</t>
  </si>
  <si>
    <t xml:space="preserve">Caixa – Tesouro Nacional</t>
  </si>
  <si>
    <t xml:space="preserve">Exclui arrecadação líquida do RGPS.</t>
  </si>
  <si>
    <t xml:space="preserve">8.2</t>
  </si>
  <si>
    <t xml:space="preserve">Imposto de Renda</t>
  </si>
  <si>
    <t xml:space="preserve">Caixa</t>
  </si>
  <si>
    <t xml:space="preserve">8.3</t>
  </si>
  <si>
    <t xml:space="preserve">Cofins</t>
  </si>
  <si>
    <t xml:space="preserve">8.4</t>
  </si>
  <si>
    <t xml:space="preserve">CSLL</t>
  </si>
  <si>
    <t xml:space="preserve">8.5</t>
  </si>
  <si>
    <t xml:space="preserve">IOF</t>
  </si>
  <si>
    <t xml:space="preserve">Alta de alíquotas do IOF em 2025.</t>
  </si>
  <si>
    <t xml:space="preserve">8.6</t>
  </si>
  <si>
    <t xml:space="preserve">Arrecadação líquida para o RGPS</t>
  </si>
  <si>
    <t xml:space="preserve">8.7</t>
  </si>
  <si>
    <t xml:space="preserve">Concessões e permissões</t>
  </si>
  <si>
    <t xml:space="preserve">Caixa – receita não administrada pela RFB</t>
  </si>
  <si>
    <t xml:space="preserve">2019 inclui leilão da cessão onerosa (receita extraordinária). [2016/2022] 2022 inclui privatização da Eletrobras e leilões do pré-sal.</t>
  </si>
  <si>
    <t xml:space="preserve">8.8</t>
  </si>
  <si>
    <t xml:space="preserve">Dividendos e participações</t>
  </si>
  <si>
    <t xml:space="preserve">[2016/2022] 2022: dividendos extraordinários da Petrobras.</t>
  </si>
  <si>
    <t xml:space="preserve">8.9</t>
  </si>
  <si>
    <t xml:space="preserve">Receitas de exploração de recursos naturais</t>
  </si>
  <si>
    <t xml:space="preserve">Caixa (royalties/participação especial)</t>
  </si>
  <si>
    <t xml:space="preserve">Receita primária total do Governo Central</t>
  </si>
  <si>
    <t xml:space="preserve">10.1</t>
  </si>
  <si>
    <t xml:space="preserve">Transferências por repartição de receita</t>
  </si>
  <si>
    <t xml:space="preserve">FPM/FPE, royalties etc.</t>
  </si>
  <si>
    <t xml:space="preserve">Governo Central → subnacionais</t>
  </si>
  <si>
    <t xml:space="preserve">10.2</t>
  </si>
  <si>
    <t xml:space="preserve">Renúncias fiscais / gastos tributários</t>
  </si>
  <si>
    <t xml:space="preserve">2025 é projeção (não realizado): 612,8 − 25,4 = 587,4 (4,40% PIB). Estimativa do PLOA 2025 = 544,4 (612,8 − 68,4). 2019 é valor efetivo. Divergência = diferença entre estimativa ex ante e apuração ex post. [2016/2022] 2016 e 2022 são valores apurados (ex post); 2016 da 1ª edição do OSU, sujeito a revisão.</t>
  </si>
  <si>
    <t xml:space="preserve">2019: 11,5% de R$ 348,3 bi (cálculo sobre dado oficial). 2025: estimativa do Poder Executivo, não apuração. Em 2024 (realizado, OSU 9ª ed.) financeiros+creditícios = 16,9% de R$ 678 bi ≈ R$ 114,6 bi — ordem de grandeza menor que a estimativa de 2025. [2016/2022] 2016 e 2022 apurados; 2016 inflado por subsídios implícitos do BNDES/FIES.</t>
  </si>
  <si>
    <t xml:space="preserve">16.1</t>
  </si>
  <si>
    <t xml:space="preserve">Subsídios da União – total (tributários + financeiros + creditícios)</t>
  </si>
  <si>
    <t xml:space="preserve">OSU</t>
  </si>
  <si>
    <t xml:space="preserve">S36</t>
  </si>
  <si>
    <t xml:space="preserve">OSU (S13)</t>
  </si>
  <si>
    <t xml:space="preserve">Soma de estimativas (S14)</t>
  </si>
  <si>
    <t xml:space="preserve">2025 = soma das duas estimativas oficiais acima; não há OSU 2025 publicado.</t>
  </si>
  <si>
    <t xml:space="preserve">1. Arrecadação federal (RFB) e receita total do RTN são conceitos distintos e não devem ser somados.</t>
  </si>
  <si>
    <t xml:space="preserve">2. Gastos tributários: 2016, 2019 e 2022 apurados (OSU); 2025 é projeção oficial.</t>
  </si>
  <si>
    <t xml:space="preserve">3. Valores nominais do próprio ano (R$ bilhões, salvo indicação). Correção para R$ de dez/2025 pelo IPCA: fator = índice dez/2025 ÷ índice de dezembro do ano (FATOR_2016, FATOR_2019, FATOR_2022 na aba 'Resumo executivo').</t>
  </si>
  <si>
    <t xml:space="preserve">4. Colunas de variação: para valores em R$ = variação REAL (IPCA); para US$ e pessoas = variação nominal; para taxas e % = diferença em pontos percentuais (p.p.).</t>
  </si>
  <si>
    <t xml:space="preserve">5. % do PIB com o PIB anual do IBGE (SIDRA 1846) de cada ano; valores em US$ usam o PIB convertido pela PTAX média anual.</t>
  </si>
  <si>
    <t xml:space="preserve">6. 'n.a.' = não se aplica; 'n.d.' = não disponível (algum ano 'não localizado após busca'). Azul = dado digitado da fonte; preto = fórmula; verde = vínculo com outra aba.</t>
  </si>
  <si>
    <t xml:space="preserve">7. Cor da linha = classificação do dado em 2019/2025; células de 2016/2022 com cor própria quando a classificação difere (ex.: estimado, não localizado).</t>
  </si>
  <si>
    <t xml:space="preserve">8. Períodos 2016→2019, 2019→2022 e 2022→2025 correspondem aproximadamente aos mandatos Temer, Bolsonaro e Lula III (até 2025); 2016 inclui o governo Dilma até maio.</t>
  </si>
  <si>
    <t xml:space="preserve">Despesas públicas – Governo Central (RTN) e União (orçamento)</t>
  </si>
  <si>
    <t xml:space="preserve">Despesa primária pelo critério caixa (STN); juros e resultado nominal pelo critério competência (BCB); despesa orçamentária paga (RREO).</t>
  </si>
  <si>
    <t xml:space="preserve">11.1</t>
  </si>
  <si>
    <t xml:space="preserve">Benefícios previdenciários (RGPS)</t>
  </si>
  <si>
    <t xml:space="preserve">RTN, caixa</t>
  </si>
  <si>
    <t xml:space="preserve">11.2</t>
  </si>
  <si>
    <t xml:space="preserve">Pessoal e encargos sociais</t>
  </si>
  <si>
    <t xml:space="preserve">11.3</t>
  </si>
  <si>
    <t xml:space="preserve">BPC/LOAS e RMV</t>
  </si>
  <si>
    <t xml:space="preserve">11.4</t>
  </si>
  <si>
    <t xml:space="preserve">Abono e seguro-desemprego</t>
  </si>
  <si>
    <t xml:space="preserve">11.5</t>
  </si>
  <si>
    <t xml:space="preserve">Complementação da União ao Fundeb</t>
  </si>
  <si>
    <t xml:space="preserve">Novo Fundeb (EC 108/2020) ampliou a complementação.</t>
  </si>
  <si>
    <t xml:space="preserve">11.6</t>
  </si>
  <si>
    <t xml:space="preserve">Sentenças judiciais e precatórios (custeio e capital)</t>
  </si>
  <si>
    <t xml:space="preserve">11.7</t>
  </si>
  <si>
    <t xml:space="preserve">Despesas discricionárias do Executivo</t>
  </si>
  <si>
    <t xml:space="preserve">11.8</t>
  </si>
  <si>
    <t xml:space="preserve">Resultado primário do Governo Central</t>
  </si>
  <si>
    <t xml:space="preserve">Receita líquida − despesa primária (acima da linha)</t>
  </si>
  <si>
    <t xml:space="preserve">S04 / S28</t>
  </si>
  <si>
    <t xml:space="preserve">2025 sem as compensações autorizadas (R$ 48,68 bi); com elas o resultado para a meta foi −R$ 13 bi (0,1% PIB). [2016/2022] 2022: divulgação original = superávit de R$ 54,086 bi (S38); série atual = R$ 46,4 bi.</t>
  </si>
  <si>
    <t xml:space="preserve">12.1</t>
  </si>
  <si>
    <t xml:space="preserve">Juros nominais do Governo Central</t>
  </si>
  <si>
    <t xml:space="preserve">Apropriados por competência (BCB, abaixo da linha)</t>
  </si>
  <si>
    <t xml:space="preserve">BCB via RTN tab. 2.1 linha 9 (S04)</t>
  </si>
  <si>
    <t xml:space="preserve">Despesa total do Governo Central (primária + juros nominais)</t>
  </si>
  <si>
    <t xml:space="preserve">Indicador sem publicação oficial única. Soma critérios diferentes (caixa × competência); usar apenas como ordem de grandeza. Ver também o déficit nominal oficial na linha seguinte.</t>
  </si>
  <si>
    <t xml:space="preserve">12.2</t>
  </si>
  <si>
    <t xml:space="preserve">Resultado nominal do Governo Central</t>
  </si>
  <si>
    <t xml:space="preserve">BCB, abaixo da linha</t>
  </si>
  <si>
    <t xml:space="preserve">Gastos da União – despesa paga (OFSS), sem refinanciamento</t>
  </si>
  <si>
    <t xml:space="preserve">Não inclui restos a pagar pagos nem refinanciamento da dívida.</t>
  </si>
  <si>
    <t xml:space="preserve">9.1</t>
  </si>
  <si>
    <t xml:space="preserve">Gastos da União – despesa paga com refinanciamento</t>
  </si>
  <si>
    <t xml:space="preserve">Total pago (inclui intra-orçamentárias e refinanciamento)</t>
  </si>
  <si>
    <t xml:space="preserve">9.2</t>
  </si>
  <si>
    <t xml:space="preserve">LOA – dotação inicial total (com refinanciamento)</t>
  </si>
  <si>
    <t xml:space="preserve">Orçamentos Fiscal e da Seguridade Social</t>
  </si>
  <si>
    <t xml:space="preserve">Previsão ≠ execução.</t>
  </si>
  <si>
    <t xml:space="preserve">1. Despesa primária (RTN, caixa) ≠ despesa orçamentária paga (RREO).</t>
  </si>
  <si>
    <t xml:space="preserve">2. A 'despesa total do Governo Central' é aproximação (soma de critérios distintos).</t>
  </si>
  <si>
    <t xml:space="preserve">Dívida pública, juros, amortização e refinanciamento</t>
  </si>
  <si>
    <t xml:space="preserve">Estoques em 31 de dezembro (dívida) e fluxos anuais (juros, amortização, refinanciamento).</t>
  </si>
  <si>
    <t xml:space="preserve">Dívida Pública Federal (DPF)</t>
  </si>
  <si>
    <t xml:space="preserve">Estoque; não somar com fluxos.</t>
  </si>
  <si>
    <t xml:space="preserve">13.1</t>
  </si>
  <si>
    <t xml:space="preserve">Dívida Pública Mobiliária Federal interna (DPMFi)</t>
  </si>
  <si>
    <t xml:space="preserve">Estoque em 31/dez</t>
  </si>
  <si>
    <t xml:space="preserve">S30</t>
  </si>
  <si>
    <t xml:space="preserve">Dívida Bruta do Governo Geral (DBGG)</t>
  </si>
  <si>
    <t xml:space="preserve">DBGG ≠ DPF: inclui dívida de estados/municípios e operações compromissadas do BCB; exclui títulos na carteira do BCB.</t>
  </si>
  <si>
    <t xml:space="preserve">14.1</t>
  </si>
  <si>
    <t xml:space="preserve">DBGG em % do PIB (BCB)</t>
  </si>
  <si>
    <t xml:space="preserve">Estoque/PIB 12 meses (BCB)</t>
  </si>
  <si>
    <t xml:space="preserve">% do PIB</t>
  </si>
  <si>
    <t xml:space="preserve">BCB SGS 13762 (S08)</t>
  </si>
  <si>
    <t xml:space="preserve">Imprensa arredondou 2025 para 78,7%.</t>
  </si>
  <si>
    <t xml:space="preserve">Dívida Líquida do Setor Público (DLSP)</t>
  </si>
  <si>
    <t xml:space="preserve">15.1</t>
  </si>
  <si>
    <t xml:space="preserve">DLSP em % do PIB (BCB)</t>
  </si>
  <si>
    <t xml:space="preserve">BCB SGS 4513 (S08)</t>
  </si>
  <si>
    <t xml:space="preserve">Imprensa arredondou 2025 para 65,3%.</t>
  </si>
  <si>
    <t xml:space="preserve">Juros nominais pagos – juros e encargos da dívida (orçamento)</t>
  </si>
  <si>
    <t xml:space="preserve">Pagamento orçamentário; difere dos juros apropriados (competência) do BCB. Não há estatística oficial de juros 'pagos' do setor público consolidado.</t>
  </si>
  <si>
    <t xml:space="preserve">Juros nominais líquidos apropriados – setor público consolidado</t>
  </si>
  <si>
    <t xml:space="preserve">Governo Central (juros nominais BCB): 310,1 (2019) e 891,9 (2025) – ver aba Despesas. 2025 inclui ganho de R$ 105,9 bi com swaps cambiais (redutor).</t>
  </si>
  <si>
    <t xml:space="preserve">19.1</t>
  </si>
  <si>
    <t xml:space="preserve">Juros nominais do setor público em % do PIB (publicado)</t>
  </si>
  <si>
    <t xml:space="preserve">BCB</t>
  </si>
  <si>
    <t xml:space="preserve">S31</t>
  </si>
  <si>
    <t xml:space="preserve">S09</t>
  </si>
  <si>
    <t xml:space="preserve">S10</t>
  </si>
  <si>
    <t xml:space="preserve">2019 publicado com PIB anterior à revisão; com PIB atual equivale a 4,97%. [2016/2022] Percentuais publicados com a série de PIB da época.</t>
  </si>
  <si>
    <t xml:space="preserve">19.2</t>
  </si>
  <si>
    <t xml:space="preserve">Resultado primário do setor público consolidado</t>
  </si>
  <si>
    <t xml:space="preserve">19.3</t>
  </si>
  <si>
    <t xml:space="preserve">Resultado nominal do setor público consolidado</t>
  </si>
  <si>
    <t xml:space="preserve">Primário − juros nominais</t>
  </si>
  <si>
    <t xml:space="preserve">Cálculo sobre S31</t>
  </si>
  <si>
    <t xml:space="preserve">Cálculo sobre S09</t>
  </si>
  <si>
    <t xml:space="preserve">2019 calculado (primário + juros, mesmos conceitos BCB); 2025 publicado. [2016/2022] 2022 publicado: déficit nominal de R$ 460 bi.</t>
  </si>
  <si>
    <t xml:space="preserve">19.4</t>
  </si>
  <si>
    <t xml:space="preserve">NFSP nominal em % do PIB (BCB)</t>
  </si>
  <si>
    <t xml:space="preserve">Déficit nominal acumulado 12 meses</t>
  </si>
  <si>
    <t xml:space="preserve">BCB SGS 5727 (S08)</t>
  </si>
  <si>
    <t xml:space="preserve">Amortizações da dívida (exceto refinanciamento)</t>
  </si>
  <si>
    <t xml:space="preserve">Fluxo; não confundir com refinanciamento (rolagem com emissão de títulos).</t>
  </si>
  <si>
    <t xml:space="preserve">Dotação inicial: 714,09 (2019) e 1.655,91 (2025).</t>
  </si>
  <si>
    <t xml:space="preserve">21.1</t>
  </si>
  <si>
    <t xml:space="preserve">Refinanciamento – dotação inicial na LOA</t>
  </si>
  <si>
    <t xml:space="preserve">Previsão orçamentária</t>
  </si>
  <si>
    <t xml:space="preserve">18.1</t>
  </si>
  <si>
    <t xml:space="preserve">Juros e encargos – dotação inicial na LOA</t>
  </si>
  <si>
    <t xml:space="preserve">1. Estoques não são somados a fluxos.</t>
  </si>
  <si>
    <t xml:space="preserve">2. DPF (Tesouro) ≠ DBGG (BCB) ≠ DLSP (BCB).</t>
  </si>
  <si>
    <t xml:space="preserve">3. Juros pagos (orçamento, caixa) ≠ juros apropriados (BCB, competência). Refinanciamento = rolagem.</t>
  </si>
  <si>
    <t xml:space="preserve">LOA e execução orçamentária da União – despesa total e investimentos</t>
  </si>
  <si>
    <t xml:space="preserve">Estágios: dotação inicial → dotação atualizada → empenho → liquidação → pagamento (RREO, 6º bimestre).</t>
  </si>
  <si>
    <t xml:space="preserve">9.3</t>
  </si>
  <si>
    <t xml:space="preserve">Despesa total da União (exceto intra-orçamentárias)</t>
  </si>
  <si>
    <t xml:space="preserve">Dotação inicial (LOA)</t>
  </si>
  <si>
    <t xml:space="preserve">Exclui intra-orçamentárias.</t>
  </si>
  <si>
    <t xml:space="preserve">Dotação atualizada</t>
  </si>
  <si>
    <t xml:space="preserve">Empenhado</t>
  </si>
  <si>
    <t xml:space="preserve">Liquidado</t>
  </si>
  <si>
    <t xml:space="preserve">Pago</t>
  </si>
  <si>
    <t xml:space="preserve">Pago no exercício; não inclui refinanciamento.</t>
  </si>
  <si>
    <t xml:space="preserve">22–24</t>
  </si>
  <si>
    <t xml:space="preserve">Investimentos (GND 4)</t>
  </si>
  <si>
    <t xml:space="preserve">Pago do exercício (sem RAP).</t>
  </si>
  <si>
    <t xml:space="preserve">24.1</t>
  </si>
  <si>
    <t xml:space="preserve">Pago total no ano, inclui restos a pagar (RTN)</t>
  </si>
  <si>
    <t xml:space="preserve">STN – RTN tab. 2.3 (S04)</t>
  </si>
  <si>
    <t xml:space="preserve">Conceito mais usado no debate fiscal: inclui pagamentos de RAP de anos anteriores.</t>
  </si>
  <si>
    <t xml:space="preserve">24.2</t>
  </si>
  <si>
    <t xml:space="preserve">Investimento total (GND 4 + inversões financeiras)</t>
  </si>
  <si>
    <t xml:space="preserve">Pago total no ano (RTN)</t>
  </si>
  <si>
    <t xml:space="preserve">1. Previsão e execução nunca são somadas.</t>
  </si>
  <si>
    <t xml:space="preserve">2. 'Pago' do RREO = pagamentos do exercício; o RTN soma restos a pagar pagos (linhas 24.1 e 24.2).</t>
  </si>
  <si>
    <t xml:space="preserve">Saúde, educação e previdência – LOA e execução (União)</t>
  </si>
  <si>
    <t xml:space="preserve">RREO Anexo 02 (funções/subfunções) para dotação, empenho e liquidação; Portal da Transparência para valor pago.</t>
  </si>
  <si>
    <t xml:space="preserve">25–26</t>
  </si>
  <si>
    <t xml:space="preserve">Saúde (função 10)</t>
  </si>
  <si>
    <t xml:space="preserve">Pago segundo o Portal da Transparência: inclui restos a pagar pagos no ano e classificação por função do Portal; pode divergir do RREO (critérios distintos).</t>
  </si>
  <si>
    <t xml:space="preserve">27–28</t>
  </si>
  <si>
    <t xml:space="preserve">Educação (função 12)</t>
  </si>
  <si>
    <t xml:space="preserve">31–32</t>
  </si>
  <si>
    <t xml:space="preserve">Previdência Social (função 09)</t>
  </si>
  <si>
    <t xml:space="preserve">Pago segundo o Portal da Transparência: inclui restos a pagar pagos no ano e classificação por função do Portal; pode divergir do RREO (critérios distintos). Em 2019 o pago do Portal (668,96) fica abaixo do liquidado do RREO (725,89): o Portal reclassifica parte dos benefícios; prefira o liquidado/RTN para comparação.</t>
  </si>
  <si>
    <t xml:space="preserve">31.1</t>
  </si>
  <si>
    <t xml:space="preserve">Previdência básica – RGPS (subfunção 271)</t>
  </si>
  <si>
    <t xml:space="preserve">31.2</t>
  </si>
  <si>
    <t xml:space="preserve">Previdência do regime estatutário – RPPS (subfunção 272)</t>
  </si>
  <si>
    <t xml:space="preserve">1. Função orçamentária ≠ mínimos constitucionais (ASPS/MDE).</t>
  </si>
  <si>
    <t xml:space="preserve">2. 2016: vigência do teto de gastos a partir de 2017 (EC 95/2016); 2019–2022 sob teto; 2025 sob o Regime Fiscal Sustentável (LC 200/2023).</t>
  </si>
  <si>
    <t xml:space="preserve">Segurança pública e políticas afirmativas – LOA e execução</t>
  </si>
  <si>
    <t xml:space="preserve">Função 06 pelo RREO; políticas afirmativas pelos programas de igualdade racial (Portal da Transparência) e dados do MIR.</t>
  </si>
  <si>
    <t xml:space="preserve">29–30</t>
  </si>
  <si>
    <t xml:space="preserve">Segurança pública (função 06)</t>
  </si>
  <si>
    <t xml:space="preserve">Políticas afirmativas – programa de igualdade racial</t>
  </si>
  <si>
    <t xml:space="preserve">não localizado após busca</t>
  </si>
  <si>
    <t xml:space="preserve">Programa 2034 'Promoção da Igualdade Racial e Superação do Racismo' (PPA 2016–19) × 5804 'Promoção da Igualdade Étnico-Racial, Combate e Superação do Racismo' (PPA 2024–27). Programas diferentes; dotação inicial não localizada.</t>
  </si>
  <si>
    <t xml:space="preserve">Mesmo recorte da linha acima.</t>
  </si>
  <si>
    <t xml:space="preserve">RAP pagos no ano: 9,25 (2019) e 22,73 (2025). [2016/2022] 2016: RAP pagos no ano R$ 23,83 mi.</t>
  </si>
  <si>
    <t xml:space="preserve">34.1</t>
  </si>
  <si>
    <t xml:space="preserve">Ministério da Igualdade Racial – orçamento executado</t>
  </si>
  <si>
    <t xml:space="preserve">Executado (órgão)</t>
  </si>
  <si>
    <t xml:space="preserve">MIR inexistente (SEPPIR)</t>
  </si>
  <si>
    <t xml:space="preserve">Órgão inexistente em 2019 (MIR criado em 2023)</t>
  </si>
  <si>
    <t xml:space="preserve">MIR inexistente</t>
  </si>
  <si>
    <t xml:space="preserve">Inesc/Alma Preta (S25)</t>
  </si>
  <si>
    <t xml:space="preserve">Autorizado 2025: R$ 139,32 mi. 2019: não há órgão equivalente (SEPPIR estava no MMFDH).</t>
  </si>
  <si>
    <t xml:space="preserve">34.2</t>
  </si>
  <si>
    <t xml:space="preserve">Agenda transversal de igualdade racial – empenhado</t>
  </si>
  <si>
    <t xml:space="preserve">63 ações em vários órgãos</t>
  </si>
  <si>
    <t xml:space="preserve">Sem agenda transversal</t>
  </si>
  <si>
    <t xml:space="preserve">Sem agenda transversal marcada no PPA 2016–19</t>
  </si>
  <si>
    <t xml:space="preserve">Autorizado 2025: R$ 674,71 mi.</t>
  </si>
  <si>
    <t xml:space="preserve">33.1</t>
  </si>
  <si>
    <t xml:space="preserve">Direitos da cidadania (função 14) – recorte amplo</t>
  </si>
  <si>
    <t xml:space="preserve">Pago segundo o Portal da Transparência: inclui restos a pagar pagos no ano e classificação por função do Portal; pode divergir do RREO (critérios distintos). Função ampla: inclui povos indígenas, custódia (2019) e direitos individuais.</t>
  </si>
  <si>
    <t xml:space="preserve">1. Programa 2034 (PPA 2016–19) cobre 2016 e 2019; 5804 (PPA 2024–27) cobre 2025; no PPA 2020–23 não houve programa específico.</t>
  </si>
  <si>
    <t xml:space="preserve">2. Valores das políticas afirmativas em R$ milhões.</t>
  </si>
  <si>
    <t xml:space="preserve">Políticas afirmativas e de apoio social – transferência de renda, assistência estudantil e igualdade racial</t>
  </si>
  <si>
    <t xml:space="preserve">Subdivisões: PA.1 transferência de renda; PA.2 BPC; PA.3–PA.5 assistência estudantil; PA.6 igualdade racial; PA.7–PA.8 outros apoios; PA.9 subtotal pago; PA.10 PNAE; PA.11 Fies; PA.12 ProUni.</t>
  </si>
  <si>
    <t xml:space="preserve">PA.1</t>
  </si>
  <si>
    <t xml:space="preserve">Transferência de renda – Bolsa Família (2016, 2019, 2025) / Auxílio Brasil (2022)</t>
  </si>
  <si>
    <t xml:space="preserve">Orçamento atualizado</t>
  </si>
  <si>
    <t xml:space="preserve">Orçamento atualizado conforme o Portal; em 2025 o Portal mostra empenho acima do orçamento atualizado (base do Portal defasada em relação a créditos adicionais).</t>
  </si>
  <si>
    <t xml:space="preserve">2022 = ação 21DP (Auxílio Brasil, inclui o adicional de R$ 200 aprovado pela EC 123/2022). 2025 = novo Bolsa Família (Lei 14.601/2023).</t>
  </si>
  <si>
    <t xml:space="preserve">Restos a pagar pagos no ano</t>
  </si>
  <si>
    <t xml:space="preserve">PA.1.1</t>
  </si>
  <si>
    <t xml:space="preserve">Bolsa Família e Auxílio Brasil – pago (RTN, caixa)</t>
  </si>
  <si>
    <t xml:space="preserve">Linha 4.4.1.2 do RTN</t>
  </si>
  <si>
    <t xml:space="preserve">STN – RTN tab. 2.2 (S41)</t>
  </si>
  <si>
    <t xml:space="preserve">Divergência com o Portal: em 2022 o RTN (88,1) não inclui o adicional pago por crédito extraordinário (Portal: 113,0); em 2025 o Portal (171,8) supera o RTN (158,1) por diferenças de classificação e critério (caixa × pago no exercício). Não somar as duas fontes.</t>
  </si>
  <si>
    <t xml:space="preserve">PA.1.2</t>
  </si>
  <si>
    <t xml:space="preserve">Famílias atendidas pelo Bolsa Família / Auxílio Brasil</t>
  </si>
  <si>
    <t xml:space="preserve">Posição mensal (mês indicado na fonte)</t>
  </si>
  <si>
    <t xml:space="preserve">milhões de famílias</t>
  </si>
  <si>
    <t xml:space="preserve">MDS via imprensa – set/2016 (S42)</t>
  </si>
  <si>
    <t xml:space="preserve">MDS – out/2019 (S42)</t>
  </si>
  <si>
    <t xml:space="preserve">MDS/Casa Civil – dez/2022 (S42)</t>
  </si>
  <si>
    <t xml:space="preserve">MDS – dez/2025 (S42)</t>
  </si>
  <si>
    <t xml:space="preserve">Estoque mensal, não média anual; meses diferentes em 2016 (set) e 2019 (out).</t>
  </si>
  <si>
    <t xml:space="preserve">PA.1.3</t>
  </si>
  <si>
    <t xml:space="preserve">Benefício médio por família</t>
  </si>
  <si>
    <t xml:space="preserve">Valor mensal no mês de referência</t>
  </si>
  <si>
    <t xml:space="preserve">R$ por mês</t>
  </si>
  <si>
    <t xml:space="preserve">Valor nominal mensal; 2016 e 2019 não localizados com precisão (fontes secundárias divergentes).</t>
  </si>
  <si>
    <t xml:space="preserve">PA.2</t>
  </si>
  <si>
    <t xml:space="preserve">Benefício de Prestação Continuada (BPC/LOAS) e RMV – pago</t>
  </si>
  <si>
    <t xml:space="preserve">Mesma série da aba 'Despesas públicas' (linha 11.3).</t>
  </si>
  <si>
    <t xml:space="preserve">PA.3</t>
  </si>
  <si>
    <t xml:space="preserve">Assistência estudantil no ensino superior – PNAES (ação 4002)</t>
  </si>
  <si>
    <t xml:space="preserve">PA.4</t>
  </si>
  <si>
    <t xml:space="preserve">Assistência estudantil na rede federal de EPT – institutos federais (ação 2994)</t>
  </si>
  <si>
    <t xml:space="preserve">Portal da Transparência – ação 2994 (S40)</t>
  </si>
  <si>
    <t xml:space="preserve">PA.5</t>
  </si>
  <si>
    <t xml:space="preserve">Bolsa Permanência no ensino superior – indígenas, quilombolas e baixa renda (ação 0A12)</t>
  </si>
  <si>
    <t xml:space="preserve">Portal da Transparência – ação 0A12 (S40)</t>
  </si>
  <si>
    <t xml:space="preserve">2025: pago acima do liquidado na base do Portal (inclui liquidações de exercícios anteriores).</t>
  </si>
  <si>
    <t xml:space="preserve">PA.6</t>
  </si>
  <si>
    <t xml:space="preserve">Igualdade racial – programas 2034 (2016, 2019) e 5804 (2025)</t>
  </si>
  <si>
    <t xml:space="preserve">Vínculo com a aba 'Segurança e polít. afirmativas'</t>
  </si>
  <si>
    <t xml:space="preserve">Mesmos valores da aba de segurança e políticas afirmativas (vínculo).</t>
  </si>
  <si>
    <t xml:space="preserve">Vínculo</t>
  </si>
  <si>
    <t xml:space="preserve">2022: sem programa específico no PPA 2020–23.</t>
  </si>
  <si>
    <t xml:space="preserve">PA.7</t>
  </si>
  <si>
    <t xml:space="preserve">Auxílio Gás (vale-gás)</t>
  </si>
  <si>
    <t xml:space="preserve">2022: orçamento; 2025: gasto previsto do novo programa</t>
  </si>
  <si>
    <t xml:space="preserve">não se aplica – programa criado em 2021</t>
  </si>
  <si>
    <t xml:space="preserve">MDS (S43)</t>
  </si>
  <si>
    <t xml:space="preserve">Gazeta do Povo (S43)</t>
  </si>
  <si>
    <t xml:space="preserve">Valores de orçamento/previsão, não de pagamento; 2025 inclui a transição para o novo programa de gás.</t>
  </si>
  <si>
    <t xml:space="preserve">PA.8</t>
  </si>
  <si>
    <t xml:space="preserve">Pé-de-Meia (incentivo à permanência no ensino médio)</t>
  </si>
  <si>
    <t xml:space="preserve">Recursos previstos para o ano</t>
  </si>
  <si>
    <t xml:space="preserve">União (fundo Fipem, fora do orçamento em 2025)</t>
  </si>
  <si>
    <t xml:space="preserve">não se aplica – programa criado em 2024</t>
  </si>
  <si>
    <t xml:space="preserve">MEC/TCU via imprensa (S44)</t>
  </si>
  <si>
    <t xml:space="preserve">Previsão anual (R$ 13 bi, dos quais R$ 6 bi foram bloqueados e liberados pelo TCU em fev/2025); pagos via fundo Fipem, fora da LOA. Valor efetivamente pago em 2025 não localizado.</t>
  </si>
  <si>
    <t xml:space="preserve">PA.10</t>
  </si>
  <si>
    <t xml:space="preserve">Alimentação escolar – PNAE: recursos federais repassados</t>
  </si>
  <si>
    <t xml:space="preserve">2016–2022: valores repassados (FNDE). 2025: orçamento estimado do programa (R$ 5,5 bi), não repasse apurado; em 2023 o repasse foi R$ 5,26 bi. Exclui a rede federal (R$ 10,8 mi, 22,2 mi e 34,1 mi pagos em 2016, 2019 e 2022).</t>
  </si>
  <si>
    <t xml:space="preserve">PA.10.1</t>
  </si>
  <si>
    <t xml:space="preserve">Alimentação escolar – PNAE: estudantes atendidos</t>
  </si>
  <si>
    <t xml:space="preserve">Alunos atendidos no ano</t>
  </si>
  <si>
    <t xml:space="preserve">milhões de estudantes</t>
  </si>
  <si>
    <t xml:space="preserve">FNDE (S45)</t>
  </si>
  <si>
    <t xml:space="preserve">2025 não localizado (o FNDE informa 'cerca de 40 milhões').</t>
  </si>
  <si>
    <t xml:space="preserve">PA.11</t>
  </si>
  <si>
    <t xml:space="preserve">Fies – impacto primário no resultado do Governo Central</t>
  </si>
  <si>
    <t xml:space="preserve">Não é o valor financiado: mede só o efeito primário (subsídio implícito/risco). A concessão de financiamentos (ação 00IG, inversão financeira) não pôde ser obtida no Portal (verificação humana). Nota Técnica Conof/CD 26/2021 (S46): concessão de financiamentos paga, incl. restos a pagar, em R$ de 2021 = 23,8 bi (2016) e 9,7 bi (2019).</t>
  </si>
  <si>
    <t xml:space="preserve">PA.11.1</t>
  </si>
  <si>
    <t xml:space="preserve">Fies – benefício creditício (subsídio implícito)</t>
  </si>
  <si>
    <t xml:space="preserve">Orçamento de Subsídios da União</t>
  </si>
  <si>
    <t xml:space="preserve">2022 elevado pelos juros altos (em 2021: R$ 15 bi; em 2023: cerca de R$ 22 bi). Valores anuais de 2016, 2019 e 2025 não localizados nas fontes acessadas.</t>
  </si>
  <si>
    <t xml:space="preserve">PA.12</t>
  </si>
  <si>
    <t xml:space="preserve">ProUni – gasto tributário (renúncia de IRPJ, CSLL, PIS e Cofins)</t>
  </si>
  <si>
    <t xml:space="preserve">Renúncia (não é despesa orçamentária). 2025 é projeção da Receita Federal, não valor apurado.</t>
  </si>
  <si>
    <t xml:space="preserve">PA.9</t>
  </si>
  <si>
    <t xml:space="preserve">Subtotal – políticas afirmativas e de apoio (pago no exercício, Portal)</t>
  </si>
  <si>
    <t xml:space="preserve">Não inclui BPC (fonte RTN, critério distinto), Auxílio Gás e Pé-de-Meia (orçamento/previsão). Para incluir o BPC, somar PA.2 só como ordem de grandeza.</t>
  </si>
  <si>
    <t xml:space="preserve">1. Agrupamento definido para a análise da dissertação: programas de transferência de renda e de permanência estudantil ao lado das ações de igualdade racial.</t>
  </si>
  <si>
    <t xml:space="preserve">2. Fontes com critérios distintos (Portal = pago do exercício por ação; RTN = caixa) não são somadas; o subtotal PA.9 usa só o Portal.</t>
  </si>
  <si>
    <t xml:space="preserve">3. Unidades: transferência de renda, BPC, Auxílio Gás e Pé-de-Meia em R$ bilhões; assistência estudantil e igualdade racial em R$ milhões.</t>
  </si>
  <si>
    <t xml:space="preserve">4. PNAE (repasse), Fies (impacto primário e subsídio creditício) e ProUni (renúncia tributária) têm conceitos distintos entre si e não entram no subtotal PA.9.</t>
  </si>
  <si>
    <t xml:space="preserve">5. Mandatos: 2016 (Dilma/Temer), 2019 e 2022 (Bolsonaro), 2025 (Lula III).</t>
  </si>
  <si>
    <t xml:space="preserve">6. Valores nominais do próprio ano (R$ bilhões, salvo indicação). Correção para R$ de dez/2025 pelo IPCA: fator = índice dez/2025 ÷ índice de dezembro do ano (FATOR_2016, FATOR_2019, FATOR_2022 na aba 'Resumo executivo').</t>
  </si>
  <si>
    <t xml:space="preserve">7. Colunas de variação: para valores em R$ = variação REAL (IPCA); para US$ e pessoas = variação nominal; para taxas e % = diferença em pontos percentuais (p.p.).</t>
  </si>
  <si>
    <t xml:space="preserve">8. % do PIB com o PIB anual do IBGE (SIDRA 1846) de cada ano; valores em US$ usam o PIB convertido pela PTAX média anual.</t>
  </si>
  <si>
    <t xml:space="preserve">9. 'n.a.' = não se aplica; 'n.d.' = não disponível (algum ano 'não localizado após busca'). Azul = dado digitado da fonte; preto = fórmula; verde = vínculo com outra aba.</t>
  </si>
  <si>
    <t xml:space="preserve">10. Cor da linha = classificação do dado em 2019/2025; células de 2016/2022 com cor própria quando a classificação difere (ex.: estimado, não localizado).</t>
  </si>
  <si>
    <t xml:space="preserve">11. Períodos 2016→2019, 2019→2022 e 2022→2025 correspondem aproximadamente aos mandatos Temer, Bolsonaro e Lula III (até 2025); 2016 inclui o governo Dilma até maio.</t>
  </si>
  <si>
    <t xml:space="preserve">BNDES, Plano Safra e pesquisa &amp; desenvolvimento</t>
  </si>
  <si>
    <t xml:space="preserve">BNDES (desembolsos e aprovações), Plano Safra (anúncio por ciclo agrícola) e P&amp;D (orçamento e dispêndio nacional).</t>
  </si>
  <si>
    <t xml:space="preserve">Desembolsos do BNDES não são despesa da LOA (funding próprio, FAT, Tesouro).</t>
  </si>
  <si>
    <t xml:space="preserve">2025 por setor (aprovações): infraestrutura 71,4; indústria 71,0; agropecuária 54,3; comércio e serviços 41,2. [2016/2022] 2022 é estimativa (≈ 175/1,32 ≈ 237,9/1,80).</t>
  </si>
  <si>
    <t xml:space="preserve">36.1</t>
  </si>
  <si>
    <t xml:space="preserve">Garantias concedidas pelo BNDES</t>
  </si>
  <si>
    <t xml:space="preserve">Garantias</t>
  </si>
  <si>
    <t xml:space="preserve">Não divulgado no balanço 2019 consultado</t>
  </si>
  <si>
    <t xml:space="preserve">O 'impacto total' de R$ 366 bi de 2025 = aprovações + garantias; não é desembolso.</t>
  </si>
  <si>
    <t xml:space="preserve">Plano Safra – valor total anunciado</t>
  </si>
  <si>
    <t xml:space="preserve">Ano-safra não coincide com o ano civil. Valores anunciados (disponibilidade), não contratados. 2025/26 = empresarial 516,2 + agricultura familiar 89,0. [2016/2022] 2016/17 = PAP 202,88 (anúncio; ajustado para 185) + agricultura familiar 30,0. 2022/23 = 340,88 (inclui Pronaf).</t>
  </si>
  <si>
    <t xml:space="preserve">39.1</t>
  </si>
  <si>
    <t xml:space="preserve">Plano Safra – agricultura empresarial (inclui Pronamp)</t>
  </si>
  <si>
    <t xml:space="preserve">Anunciado</t>
  </si>
  <si>
    <t xml:space="preserve">Cálculo: total − Pronaf</t>
  </si>
  <si>
    <t xml:space="preserve">2019/20 calculado por diferença (inclui subvenção ao seguro e apoio à comercialização).</t>
  </si>
  <si>
    <t xml:space="preserve">39.2</t>
  </si>
  <si>
    <t xml:space="preserve">Plano Safra – agricultura familiar (Pronaf em 2019/20; total MDA em 2025/26)</t>
  </si>
  <si>
    <t xml:space="preserve">MDA (S35)</t>
  </si>
  <si>
    <t xml:space="preserve">MDA (S21)</t>
  </si>
  <si>
    <t xml:space="preserve">2025/26: Pronaf = R$ 78,2 bi dentro dos R$ 89 bi do Plano Safra da Agricultura Familiar.</t>
  </si>
  <si>
    <t xml:space="preserve">P&amp;D no orçamento federal – função Ciência e Tecnologia (19)</t>
  </si>
  <si>
    <t xml:space="preserve">Pago segundo o Portal da Transparência: inclui restos a pagar pagos no ano e classificação por função do Portal; pode divergir do RREO (critérios distintos). 2025 inclui operações reembolsáveis do FNDCT (subfunção desenvolvimento tecnológico: R$ 28,9 bi empenhados), o que infla a comparação.</t>
  </si>
  <si>
    <t xml:space="preserve">P&amp;D realizado – dispêndio nacional (% do PIB)</t>
  </si>
  <si>
    <t xml:space="preserve">Não há dado para 2025; a coluna 2025 traz o valor de 2023. [2016/2022] 2016 e 2022 são dados observados.</t>
  </si>
  <si>
    <t xml:space="preserve">38.1</t>
  </si>
  <si>
    <t xml:space="preserve">P&amp;D realizado – dispêndio nacional (R$ bi, estimado)</t>
  </si>
  <si>
    <t xml:space="preserve">% do PIB × PIB do ano</t>
  </si>
  <si>
    <t xml:space="preserve">Cálculo S22 × S01</t>
  </si>
  <si>
    <t xml:space="preserve">Cálculo (2023 % × PIB 2025)</t>
  </si>
  <si>
    <t xml:space="preserve">2025 é hipótese: supõe a mesma intensidade de P&amp;D de 2023.</t>
  </si>
  <si>
    <t xml:space="preserve">1. Desembolsos do BNDES não são despesas da LOA.</t>
  </si>
  <si>
    <t xml:space="preserve">2. Plano Safra por ciclo jul–jun: 2016/17, 2019/20, 2022/23 e 2025/26 (não coincidem com os anos civis).</t>
  </si>
  <si>
    <t xml:space="preserve">3. P&amp;D realizado: dado observado em 2016, 2019 e 2022; 2025 usa o último dado (2023).</t>
  </si>
  <si>
    <t xml:space="preserve">Emprego formal e desemprego</t>
  </si>
  <si>
    <t xml:space="preserve">Caged (2016 e 2019, sistema antigo), Novo Caged (2022 e 2025) e PNAD Contínua (IBGE).</t>
  </si>
  <si>
    <t xml:space="preserve">Quebra metodológica: Caged antigo (2019) × Novo Caged/eSocial (2025). 2025: 48.474.348 exclui estatutários da RAIS; 'estoque total recuperado' = 49.090.182. [2016/2022] 2016 estimado: 462.366 ÷ 1,19% − 462.366 (saldo de dezembro e variação relativa publicados).</t>
  </si>
  <si>
    <t xml:space="preserve">Novo Caged capta mais movimentações (temporários, intermitentes) – níveis de admissões/desligamentos não são comparáveis diretamente. [2016/2022] 2016 publicado arredondado (14,7 mi).</t>
  </si>
  <si>
    <t xml:space="preserve">Idem. [2016/2022] 2016 publicado arredondado (16,1 mi).</t>
  </si>
  <si>
    <t xml:space="preserve">Calculado na planilha e idêntico ao publicado (644.079 e 1.279.498). [2016/2022] 2016: saldo publicado (não calculado, pois admissões/desligamentos estão arredondados).</t>
  </si>
  <si>
    <t xml:space="preserve">Taxa média anual de desemprego (desocupação)</t>
  </si>
  <si>
    <t xml:space="preserve">Publicado. Série atual do SIDRA 4099 (média dos 4 trimestres, após reponderação): 12,0% (2019) e 5,9% (2025).</t>
  </si>
  <si>
    <t xml:space="preserve">44.1</t>
  </si>
  <si>
    <t xml:space="preserve">Taxa de desocupação – média simples dos 4 trimestres (série atual)</t>
  </si>
  <si>
    <t xml:space="preserve">SIDRA 4099</t>
  </si>
  <si>
    <t xml:space="preserve">SIDRA 4099 (S17)</t>
  </si>
  <si>
    <t xml:space="preserve">Cálculo próprio para mostrar a divergência com a taxa anual divulgada.</t>
  </si>
  <si>
    <t xml:space="preserve">44.2</t>
  </si>
  <si>
    <t xml:space="preserve">População desocupada – média anual</t>
  </si>
  <si>
    <t xml:space="preserve">PNAD Contínua</t>
  </si>
  <si>
    <t xml:space="preserve">milhões de pessoas</t>
  </si>
  <si>
    <t xml:space="preserve">Não localizado</t>
  </si>
  <si>
    <t xml:space="preserve">S17</t>
  </si>
  <si>
    <t xml:space="preserve">1. Estoque = posição em 31/dez; admissões, desligamentos e saldo = acumulado jan–dez.</t>
  </si>
  <si>
    <t xml:space="preserve">2. Quebra de série em 2020 (Caged → Novo Caged): 2016/2019 não são diretamente comparáveis a 2022/2025 em níveis de fluxos.</t>
  </si>
  <si>
    <t xml:space="preserve">Comércio exterior e investimento estrangeiro direto (US$)</t>
  </si>
  <si>
    <t xml:space="preserve">Comex Stat/MDIC (FOB, série atual) e BCB (IDP, BPM6). Últimas colunas convertem para R$ pela PTAX média anual.</t>
  </si>
  <si>
    <t xml:space="preserve">2016 em R$ bi (PTAX)</t>
  </si>
  <si>
    <t xml:space="preserve">2019 em R$ bi (PTAX)</t>
  </si>
  <si>
    <t xml:space="preserve">2022 em R$ bi (PTAX)</t>
  </si>
  <si>
    <t xml:space="preserve">2025 em R$ bi (PTAX)</t>
  </si>
  <si>
    <t xml:space="preserve">Divulgação original 2019: US$ 224,01 bi. Revisão posterior da Secex (ajustes de registros, ex.: plataformas de petróleo/Repetro).</t>
  </si>
  <si>
    <t xml:space="preserve">Divulgação original 2019: US$ 177,34 bi; 2025 divulgado US$ 280,4 bi.</t>
  </si>
  <si>
    <t xml:space="preserve">Original 2019: US$ 46,7 bi; revisado: US$ 35,2 bi. 2025 divulgado: US$ 68,3 bi.</t>
  </si>
  <si>
    <t xml:space="preserve">49.1</t>
  </si>
  <si>
    <t xml:space="preserve">Corrente de comércio</t>
  </si>
  <si>
    <t xml:space="preserve">Exportações + importações</t>
  </si>
  <si>
    <t xml:space="preserve">Investimento estrangeiro direto (IDP)</t>
  </si>
  <si>
    <t xml:space="preserve">2019 divulgado originalmente: US$ 78,559 bi (S27); série atual revisada: 69,17. 2025: 3,41% do PIB segundo o BCB.</t>
  </si>
  <si>
    <t xml:space="preserve">1. Valores em US$ não são corrigidos pelo IPCA.</t>
  </si>
  <si>
    <t xml:space="preserve">2. Valores nominais do próprio ano (R$ bilhões, salvo indicação). Correção para R$ de dez/2025 pelo IPCA: fator = índice dez/2025 ÷ índice de dezembro do ano (FATOR_2016, FATOR_2019, FATOR_2022 na aba 'Resumo executivo').</t>
  </si>
  <si>
    <t xml:space="preserve">3. Colunas de variação: para valores em R$ = variação REAL (IPCA); para US$ e pessoas = variação nominal; para taxas e % = diferença em pontos percentuais (p.p.).</t>
  </si>
  <si>
    <t xml:space="preserve">4. % do PIB com o PIB anual do IBGE (SIDRA 1846) de cada ano; valores em US$ usam o PIB convertido pela PTAX média anual.</t>
  </si>
  <si>
    <t xml:space="preserve">5. 'n.a.' = não se aplica; 'n.d.' = não disponível (algum ano 'não localizado após busca'). Azul = dado digitado da fonte; preto = fórmula; verde = vínculo com outra aba.</t>
  </si>
  <si>
    <t xml:space="preserve">6. Cor da linha = classificação do dado em 2019/2025; células de 2016/2022 com cor própria quando a classificação difere (ex.: estimado, não localizado).</t>
  </si>
  <si>
    <t xml:space="preserve">7. Períodos 2016→2019, 2019→2022 e 2022→2025 correspondem aproximadamente aos mandatos Temer, Bolsonaro e Lula III (até 2025); 2016 inclui o governo Dilma até maio.</t>
  </si>
  <si>
    <t xml:space="preserve">Investimentos privados e industriais</t>
  </si>
  <si>
    <t xml:space="preserve">Distinção entre investimento anunciado, aprovado/contratado e realizado.</t>
  </si>
  <si>
    <t xml:space="preserve">Formação bruta de capital fixo (investimento realizado – toda a economia)</t>
  </si>
  <si>
    <t xml:space="preserve">Investimento efetivamente realizado; inclui governo e estatais – o IBGE não separa FBCF privada na série trimestral.</t>
  </si>
  <si>
    <t xml:space="preserve">45.1</t>
  </si>
  <si>
    <t xml:space="preserve">Investimentos privados anunciados na indústria (Nova Indústria Brasil)</t>
  </si>
  <si>
    <t xml:space="preserve">Anúncio ≠ contratado ≠ realizado. Valor acumulado de anúncios de 2024 até fev/2025 para vários anos; não é fluxo de 2025.</t>
  </si>
  <si>
    <t xml:space="preserve">45.2</t>
  </si>
  <si>
    <t xml:space="preserve">BNDES – indústria (contratado/aprovado)</t>
  </si>
  <si>
    <t xml:space="preserve">2019: desembolsos à indústria; 2025: aprovações à indústria</t>
  </si>
  <si>
    <t xml:space="preserve">BNDES via Estado de Minas (S20)</t>
  </si>
  <si>
    <t xml:space="preserve">Estágios diferentes (desembolso × aprovação) – não calcular variação como se fosse o mesmo conceito.</t>
  </si>
  <si>
    <t xml:space="preserve">45.3</t>
  </si>
  <si>
    <t xml:space="preserve">Investimento privado em infraestrutura (realizado)</t>
  </si>
  <si>
    <t xml:space="preserve">Abdib</t>
  </si>
  <si>
    <t xml:space="preserve">Não localizado para 2019</t>
  </si>
  <si>
    <t xml:space="preserve">Abdib via Diário do Comércio (S37)</t>
  </si>
  <si>
    <t xml:space="preserve">Abdib via Conjur (S24)</t>
  </si>
  <si>
    <t xml:space="preserve">84% do total de R$ 280 bi em 2025. [2016/2022] 2022: recorde da série (desde 2003).</t>
  </si>
  <si>
    <t xml:space="preserve">1. Anunciado (NIB) ≠ aprovado (BNDES) ≠ realizado (FBCF, Abdib).</t>
  </si>
  <si>
    <t xml:space="preserve">Infraestrutura – investimentos federais e totais</t>
  </si>
  <si>
    <t xml:space="preserve">Orçamento da União por subfunção (RREO), investimentos pagos por função (RTN), PAC/Novo PAC e Abdib.</t>
  </si>
  <si>
    <t xml:space="preserve">Investimentos federais em infraestrutura (GND 4 pagos)</t>
  </si>
  <si>
    <t xml:space="preserve">Agregação própria (mesma fonte e conceito). 2019: 7,834+1,157+3,176+0,047+0,062+0,089; 2025: 13,607+0,612+5,965+0,552+0,030+0,049. [2016/2022] 2016: 10,787+1,756+3,139+0,105+0,042+0,045; 2022: 7,147+0,342+5,622+0,025+0,056+0,184.</t>
  </si>
  <si>
    <t xml:space="preserve">Investimentos do PAC / Novo PAC (orçamento federal)</t>
  </si>
  <si>
    <t xml:space="preserve">não se aplica – PAC extinto (Novo PAC só em 2023)</t>
  </si>
  <si>
    <t xml:space="preserve">2025 é dotação/empenho, não pagamento. Novo PAC (todas as fontes, inclusive privadas e estatais) somou R$ 944,8 bi executados de 2023 a ago/2025. [2016/2022] 2016: orçamento previsto do PAC ≈ R$ 42 bi (imprensa).</t>
  </si>
  <si>
    <t xml:space="preserve">50.1</t>
  </si>
  <si>
    <t xml:space="preserve">Investimentos (GND 4) na função Transporte – pago total</t>
  </si>
  <si>
    <t xml:space="preserve">RTN</t>
  </si>
  <si>
    <t xml:space="preserve">Rodovias – subfunção Transporte Rodoviário (782)</t>
  </si>
  <si>
    <t xml:space="preserve">Despesa total da subfunção (todos os GND), não só investimento; exclui concessões, estatais e setor privado.</t>
  </si>
  <si>
    <t xml:space="preserve">Ferrovias – subfunção Transporte Ferroviário (783)</t>
  </si>
  <si>
    <t xml:space="preserve">Portos – subfunção Transporte Hidroviário/Aquaviário (784)</t>
  </si>
  <si>
    <t xml:space="preserve">Despesa total da subfunção (todos os GND), não só investimento; exclui concessões, estatais e setor privado. 2025: subfunção renomeada 'Transporte Aquaviário'.</t>
  </si>
  <si>
    <t xml:space="preserve">Aeroportos – subfunção Transporte Aéreo (781)</t>
  </si>
  <si>
    <t xml:space="preserve">Saneamento (função 17)</t>
  </si>
  <si>
    <t xml:space="preserve">Mobilidade – subfunção Transportes Coletivos Urbanos (453)</t>
  </si>
  <si>
    <t xml:space="preserve">56.1</t>
  </si>
  <si>
    <t xml:space="preserve">Investimento total em infraestrutura (todas as fontes)</t>
  </si>
  <si>
    <t xml:space="preserve">Abdib – energia, transportes/logística, saneamento, telecom</t>
  </si>
  <si>
    <t xml:space="preserve">Estimativa: 1,94% × PIB (S37)</t>
  </si>
  <si>
    <t xml:space="preserve">Abdib (S24)</t>
  </si>
  <si>
    <t xml:space="preserve">Abdib: 131 privado + 31,9 público (S37)</t>
  </si>
  <si>
    <t xml:space="preserve">Entidade setorial. 2019 = 1,71% do PIB (PIB antigo). [2016/2022] 2016: só o % do PIB foi localizado; valor em R$ é estimativa.</t>
  </si>
  <si>
    <t xml:space="preserve">56.2</t>
  </si>
  <si>
    <t xml:space="preserve">Investimento em transportes e logística (todas as fontes)</t>
  </si>
  <si>
    <t xml:space="preserve">S24</t>
  </si>
  <si>
    <t xml:space="preserve">Rodovias, ferrovias, hidrovias, portos, aeroportos e mobilidade urbana somados; a abertura por modal não foi localizada.</t>
  </si>
  <si>
    <t xml:space="preserve">56.3</t>
  </si>
  <si>
    <t xml:space="preserve">Investimento em saneamento</t>
  </si>
  <si>
    <t xml:space="preserve">2019: total; 2025: somente capital privado</t>
  </si>
  <si>
    <t xml:space="preserve">Conceitos diferentes (total × privado) – variação não deve ser interpretada literalmente.</t>
  </si>
  <si>
    <t xml:space="preserve">1. Subfunções de transporte trazem a despesa total do orçamento, não só o GND 4.</t>
  </si>
  <si>
    <t xml:space="preserve">2. PAC existia em 2016 e 2019, não em 2022; o Novo PAC começou em 2023.</t>
  </si>
  <si>
    <t xml:space="preserve">Fontes e metodologia</t>
  </si>
  <si>
    <t xml:space="preserve">Todas as fontes consultadas em 22/09/2026. Confiabilidade: Alta = fonte oficial primária ou reprodução fiel; Média = imprensa/entidade setorial ou anúncio.</t>
  </si>
  <si>
    <t xml:space="preserve">ID</t>
  </si>
  <si>
    <t xml:space="preserve">Título da fonte</t>
  </si>
  <si>
    <t xml:space="preserve">Instituição</t>
  </si>
  <si>
    <t xml:space="preserve">URL</t>
  </si>
  <si>
    <t xml:space="preserve">Data da publicação</t>
  </si>
  <si>
    <t xml:space="preserve">Ano de referência</t>
  </si>
  <si>
    <t xml:space="preserve">Indicador utilizado</t>
  </si>
  <si>
    <t xml:space="preserve">Página ou tabela</t>
  </si>
  <si>
    <t xml:space="preserve">Observações</t>
  </si>
  <si>
    <t xml:space="preserve">Nível de confiabilidade</t>
  </si>
  <si>
    <t xml:space="preserve">S01</t>
  </si>
  <si>
    <t xml:space="preserve">Contas Nacionais Trimestrais – Tabela 1846 (valores correntes)</t>
  </si>
  <si>
    <t xml:space="preserve">IBGE / SIDRA</t>
  </si>
  <si>
    <t xml:space="preserve">https://apisidra.ibge.gov.br/values/t/1846/n1/all/v/all/p/201901,201902,201903,201904,202501,202502,202503,202504/c11255/all</t>
  </si>
  <si>
    <t xml:space="preserve">Série consultada em 22/09/2026 (divulgação 2º tri/2026)</t>
  </si>
  <si>
    <t xml:space="preserve">2016, 2019, 2022 e 2025</t>
  </si>
  <si>
    <t xml:space="preserve">PIB, VAB por atividade, FBCF</t>
  </si>
  <si>
    <t xml:space="preserve">Tabela 1846 – soma dos 4 trimestres</t>
  </si>
  <si>
    <t xml:space="preserve">Valores anuais obtidos pela soma dos trimestres a preços correntes; série sujeita a revisão.</t>
  </si>
  <si>
    <t xml:space="preserve">Alta</t>
  </si>
  <si>
    <t xml:space="preserve">S02</t>
  </si>
  <si>
    <t xml:space="preserve">PIB cresce 2,3% em 2025 e fecha o ano em R$ 12,7 trilhões</t>
  </si>
  <si>
    <t xml:space="preserve">IBGE – Agência de Notícias</t>
  </si>
  <si>
    <t xml:space="preserve">https://agenciadenoticias.ibge.gov.br/agencia-sala-de-imprensa/2013-agencia-de-noticias/releases/45968-pib-cresce-2-3-em-2025-e-fecha-o-ano-em-r-12-7-trilhoes</t>
  </si>
  <si>
    <t xml:space="preserve">03/2026</t>
  </si>
  <si>
    <t xml:space="preserve">PIB 2025 (divulgação original)</t>
  </si>
  <si>
    <t xml:space="preserve">Release</t>
  </si>
  <si>
    <t xml:space="preserve">Divulgação original R$ 12,7 tri; SIDRA atual = R$ 12.738,6 bi (revisão).</t>
  </si>
  <si>
    <t xml:space="preserve">S03</t>
  </si>
  <si>
    <t xml:space="preserve">IPCA – número-índice (Tabela 1737, v. 2266)</t>
  </si>
  <si>
    <t xml:space="preserve">https://apisidra.ibge.gov.br/values/t/1737/n1/all/v/2266/p/201912,202512</t>
  </si>
  <si>
    <t xml:space="preserve">Consulta 22/09/2026</t>
  </si>
  <si>
    <t xml:space="preserve">dez/2016, 2019, 2022 e 2025</t>
  </si>
  <si>
    <t xml:space="preserve">Fator de correção IPCA</t>
  </si>
  <si>
    <t xml:space="preserve">Tabela 1737</t>
  </si>
  <si>
    <t xml:space="preserve">Índice dez/2019 = 5.320,25; dez/2025 = 7.403,29.</t>
  </si>
  <si>
    <t xml:space="preserve">Resultado do Tesouro Nacional – Séries históricas (serie_historica_dez25.xlsx)</t>
  </si>
  <si>
    <t xml:space="preserve">Tesouro Nacional (STN)</t>
  </si>
  <si>
    <t xml:space="preserve">https://www.tesourotransparente.gov.br/publicacoes/boletim-resultado-do-tesouro-nacional-rtn/2025/12</t>
  </si>
  <si>
    <t xml:space="preserve">29/01/2026</t>
  </si>
  <si>
    <t xml:space="preserve">1997–2025</t>
  </si>
  <si>
    <t xml:space="preserve">Receitas, despesas primárias, juros e resultado nominal do Governo Central; investimentos por função</t>
  </si>
  <si>
    <t xml:space="preserve">Tabelas 2.1, 2.1-A e 2.3</t>
  </si>
  <si>
    <t xml:space="preserve">Receita/despesa pelo critério caixa (acima da linha); juros e nominal apurados pelo BCB (abaixo da linha).</t>
  </si>
  <si>
    <t xml:space="preserve">RREO da União – Anexo 01 (Balanço Orçamentário), 6º bimestre</t>
  </si>
  <si>
    <t xml:space="preserve">Tesouro Nacional – API Siconfi</t>
  </si>
  <si>
    <t xml:space="preserve">https://apidatalake.tesouro.gov.br/ords/siconfi/tt/rreo?an_exercicio={ano}&amp;nr_periodo=6&amp;co_tipo_demonstrativo=RREO&amp;no_anexo=RREO-Anexo%2001&amp;co_esfera=U&amp;id_ente=1</t>
  </si>
  <si>
    <t xml:space="preserve">Jan/2020 e jan/2026</t>
  </si>
  <si>
    <t xml:space="preserve">Dotação inicial/atualizada, empenho, liquidação, pagamento por GND; refinanciamento</t>
  </si>
  <si>
    <t xml:space="preserve">RREO Anexo 01</t>
  </si>
  <si>
    <t xml:space="preserve">Orçamentos Fiscal e da Seguridade Social. 'Pago' = pagamentos do exercício (não inclui restos a pagar).</t>
  </si>
  <si>
    <t xml:space="preserve">S06</t>
  </si>
  <si>
    <t xml:space="preserve">RREO da União – Anexo 02 (Despesa por Função/Subfunção), 6º bimestre</t>
  </si>
  <si>
    <t xml:space="preserve">https://apidatalake.tesouro.gov.br/ords/siconfi/tt/rreo?an_exercicio={ano}&amp;nr_periodo=6&amp;co_tipo_demonstrativo=RREO&amp;no_anexo=RREO-Anexo%2002&amp;co_esfera=U&amp;id_ente=1</t>
  </si>
  <si>
    <t xml:space="preserve">Saúde, educação, segurança, previdência, C&amp;T, direitos da cidadania, transporte, saneamento, urbanismo</t>
  </si>
  <si>
    <t xml:space="preserve">RREO Anexo 02</t>
  </si>
  <si>
    <t xml:space="preserve">Anexo não traz 'pago'; pagamentos por função vêm do Portal da Transparência (S07). Exclui despesas intra-orçamentárias.</t>
  </si>
  <si>
    <t xml:space="preserve">Portal da Transparência – Funções e Programas orçamentários</t>
  </si>
  <si>
    <t xml:space="preserve">CGU – Portal da Transparência</t>
  </si>
  <si>
    <t xml:space="preserve">https://portaldatransparencia.gov.br/funcoes/10-saude?ano=2019</t>
  </si>
  <si>
    <t xml:space="preserve">Valor pago por função; programas 2034 (2019) e 5804 (2025)</t>
  </si>
  <si>
    <t xml:space="preserve">Páginas /funcoes/{código}?ano= e /programas-e-acoes/programa-orcamentario/...</t>
  </si>
  <si>
    <t xml:space="preserve">'Valor pago' do Portal inclui pagamentos de restos a pagar no ano e usa base de dados própria (SIAFI), podendo divergir do RREO.</t>
  </si>
  <si>
    <t xml:space="preserve">SGS – séries 13761/13762 (DBGG), 4478/4513 (DLSP), 5727 (NFSP nominal), 22885 (IDP), 3698 (PTAX média mensal)</t>
  </si>
  <si>
    <t xml:space="preserve">Banco Central do Brasil</t>
  </si>
  <si>
    <t xml:space="preserve">https://api.bcb.gov.br/dados/serie/bcdata.sgs.13761/dados?formato=json</t>
  </si>
  <si>
    <t xml:space="preserve">Dívida bruta, dívida líquida, NFSP, IDP, câmbio</t>
  </si>
  <si>
    <t xml:space="preserve">SGS</t>
  </si>
  <si>
    <t xml:space="preserve">Estoques em dezembro; %PIB calculado pelo BCB com PIB acumulado 12 meses (valorizado).</t>
  </si>
  <si>
    <t xml:space="preserve">Contas públicas têm déficit primário de R$ 61,872 bi em 2019</t>
  </si>
  <si>
    <t xml:space="preserve">Agência Brasil (dados BCB)</t>
  </si>
  <si>
    <t xml:space="preserve">https://agenciabrasil.ebc.com.br/economia/noticia/2020-01/contas-publicas-tem-deficit-primario-de-r-61872-bi-em-2019</t>
  </si>
  <si>
    <t xml:space="preserve">31/01/2020</t>
  </si>
  <si>
    <t xml:space="preserve">Resultado primário e juros nominais do setor público consolidado</t>
  </si>
  <si>
    <t xml:space="preserve">Notícia</t>
  </si>
  <si>
    <t xml:space="preserve">Juros 2019 = R$ 367,282 bi (5,06% do PIB pela série de PIB da época).</t>
  </si>
  <si>
    <t xml:space="preserve">Alta (reproduz BCB)</t>
  </si>
  <si>
    <t xml:space="preserve">Estatísticas fiscais – dezembro de 2025 / Juro da dívida e déficit nominal 2025</t>
  </si>
  <si>
    <t xml:space="preserve">BCB via Poder360 e CNN Brasil</t>
  </si>
  <si>
    <t xml:space="preserve">https://www.poder360.com.br/poder-economia/juro-da-divida-bate-recorde-e-deficit-nominal-supera-r-1-trilhao/</t>
  </si>
  <si>
    <t xml:space="preserve">30/01/2026</t>
  </si>
  <si>
    <t xml:space="preserve">Juros nominais e resultado nominal/primário do setor público consolidado</t>
  </si>
  <si>
    <t xml:space="preserve">Notícia + nota do BCB</t>
  </si>
  <si>
    <t xml:space="preserve">Juros 2025 = R$ 1.007,6 bi (7,91% PIB); nominal = −R$ 1.062,6 bi; primário = −R$ 55,0 bi.</t>
  </si>
  <si>
    <t xml:space="preserve">Dívida Pública Federal: RMD dez/2019 e dez/2025</t>
  </si>
  <si>
    <t xml:space="preserve">Tesouro Nacional (via Ministério da Economia/Fazenda)</t>
  </si>
  <si>
    <t xml:space="preserve">https://www.gov.br/fazenda/pt-br/assuntos/noticias/2026/janeiro/divida-publica-encerra-2025-em-r-8-635-trilhoes-dentro-dos-limites-projetados-aponta-tesouro</t>
  </si>
  <si>
    <t xml:space="preserve">28/01/2020 e 28/01/2026</t>
  </si>
  <si>
    <t xml:space="preserve">2019 e 2025</t>
  </si>
  <si>
    <t xml:space="preserve">Estoque da DPF e DPMFi</t>
  </si>
  <si>
    <t xml:space="preserve">Relatório Mensal da Dívida</t>
  </si>
  <si>
    <t xml:space="preserve">2019: DPF R$ 4,248 tri (Agência Brasil arredonda para 4,249); 2025: R$ 8,635 tri.</t>
  </si>
  <si>
    <t xml:space="preserve">S12</t>
  </si>
  <si>
    <t xml:space="preserve">Arrecadação federal 2019 e 2025</t>
  </si>
  <si>
    <t xml:space="preserve">Receita Federal (via Agência Brasil / gov.br)</t>
  </si>
  <si>
    <t xml:space="preserve">https://www.gov.br/receitafederal/pt-br/assuntos/noticias/2026/janeiro/arrecadacao-de-receitas-federais-alcanca-r-2-886-trilhoes-em-2025</t>
  </si>
  <si>
    <t xml:space="preserve">23/01/2020 e 22/01/2026</t>
  </si>
  <si>
    <t xml:space="preserve">Arrecadação das receitas federais</t>
  </si>
  <si>
    <t xml:space="preserve">Nota de arrecadação</t>
  </si>
  <si>
    <t xml:space="preserve">Total inclui receitas administradas pela RFB e por outros órgãos (royalties etc.).</t>
  </si>
  <si>
    <t xml:space="preserve">S13</t>
  </si>
  <si>
    <t xml:space="preserve">Orçamento de Subsídios da União (OSU) – 4ª edição (ref. 2019)</t>
  </si>
  <si>
    <t xml:space="preserve">Ministério da Economia</t>
  </si>
  <si>
    <t xml:space="preserve">https://www.gov.br/economia/pt-br/assuntos/noticias/2020/julho/subsidios-concedidos-pela-uniao-atingem-r-348-3-bilhoes-em-2019</t>
  </si>
  <si>
    <t xml:space="preserve">14/07/2020</t>
  </si>
  <si>
    <t xml:space="preserve">Subsídios tributários, financeiros e creditícios</t>
  </si>
  <si>
    <t xml:space="preserve">Relatório OSU</t>
  </si>
  <si>
    <t xml:space="preserve">Total R$ 348,3 bi (4,8% PIB); 88,5% tributários, 11,5% financeiros+creditícios.</t>
  </si>
  <si>
    <t xml:space="preserve">S14</t>
  </si>
  <si>
    <t xml:space="preserve">Nota Técnica Conjunta CONOF/CD e CONORF/SF – PLOA 2026</t>
  </si>
  <si>
    <t xml:space="preserve">Câmara dos Deputados / Senado Federal</t>
  </si>
  <si>
    <t xml:space="preserve">https://www12.senado.leg.br/orcamento/documentos/estudos/tipos-de-estudos/notas-tecnicas-e-informativos/notatecnicaconjunta_ploa-2026_.pdf</t>
  </si>
  <si>
    <t xml:space="preserve">09/2025</t>
  </si>
  <si>
    <t xml:space="preserve">2025–2026</t>
  </si>
  <si>
    <t xml:space="preserve">Gastos tributários 2025 (DGT Bases Efetivas e PLOA 2025); benefícios financeiros e creditícios 2025</t>
  </si>
  <si>
    <t xml:space="preserve">p. 11, 41–43 e 93–94</t>
  </si>
  <si>
    <t xml:space="preserve">Gastos tributários 2026 = R$ 612,8 bi, +R$ 68,4 bi sobre PLOA 2025 e +R$ 25,4 bi sobre a última projeção de 2025 (DGT Bases Efetivas) ⇒ 544,4 e 587,4. Benefícios fin./cred. 2025 estimados em R$ 172,5 bi.</t>
  </si>
  <si>
    <t xml:space="preserve">Alta (estimativas oficiais)</t>
  </si>
  <si>
    <t xml:space="preserve">Novo Caged – apresentação dez/2025 e notícia MTE</t>
  </si>
  <si>
    <t xml:space="preserve">Ministério do Trabalho e Emprego</t>
  </si>
  <si>
    <t xml:space="preserve">https://www.gov.br/trabalho-e-emprego/pt-br/noticias-e-conteudo/2026/janeiro/novo-caged-brasil-encerra-2025-com-saldo-positivo-de-1-27-milhao-de-empregos-formais</t>
  </si>
  <si>
    <t xml:space="preserve">Admissões, desligamentos, saldo e estoque</t>
  </si>
  <si>
    <t xml:space="preserve">Apresentação p. 8</t>
  </si>
  <si>
    <t xml:space="preserve">Estoque dez/2025: 48.474.348 (excl. estatutários RAIS) e 49.090.182 (total recuperado).</t>
  </si>
  <si>
    <t xml:space="preserve">Caged 2019 (sistema antigo)</t>
  </si>
  <si>
    <t xml:space="preserve">Ministério da Economia (via Agência Brasil)</t>
  </si>
  <si>
    <t xml:space="preserve">https://agenciabrasil.ebc.com.br/economia/noticia/2020-01/caged-pais-gerou-644-mil-novas-vagas-de-trabalho-em-2019</t>
  </si>
  <si>
    <t xml:space="preserve">24/01/2020</t>
  </si>
  <si>
    <t xml:space="preserve">Notícia/sumário executivo</t>
  </si>
  <si>
    <t xml:space="preserve">Caged antigo (declaração do empregador); não é diretamente comparável ao Novo Caged (eSocial, desde 2020).</t>
  </si>
  <si>
    <t xml:space="preserve">PNAD Contínua – taxa anual de desocupação 2019 e 2025; Tabela 4099</t>
  </si>
  <si>
    <t xml:space="preserve">IBGE</t>
  </si>
  <si>
    <t xml:space="preserve">https://agenciadenoticias.ibge.gov.br/agencia-sala-de-imprensa/2013-agencia-de-noticias/releases/45759-pnad-continua-em-2025-taxa-anual-de-desocupacao-foi-de-5-6-enquanto-taxa-de-subutilizacao-foi-14-5</t>
  </si>
  <si>
    <t xml:space="preserve">02/2020 e 02/2026</t>
  </si>
  <si>
    <t xml:space="preserve">Taxa média anual de desocupação</t>
  </si>
  <si>
    <t xml:space="preserve">Releases + SIDRA 4099</t>
  </si>
  <si>
    <t xml:space="preserve">Publicado: 11,9% (2019) e 5,6% (2025). Média dos 4 trimestres na série atual do SIDRA: 12,0% e 5,9%.</t>
  </si>
  <si>
    <t xml:space="preserve">Comex Stat – API geral (FOB)</t>
  </si>
  <si>
    <t xml:space="preserve">MDIC / Secex</t>
  </si>
  <si>
    <t xml:space="preserve">https://api-comexstat.mdic.gov.br/general</t>
  </si>
  <si>
    <t xml:space="preserve">Exportações e importações (US$ FOB)</t>
  </si>
  <si>
    <t xml:space="preserve">Consulta geral anual</t>
  </si>
  <si>
    <t xml:space="preserve">Série revisada: 2019 exp. 221,13 / imp. 185,93. Divulgação original (jan/2020): 224,01 / 177,34.</t>
  </si>
  <si>
    <t xml:space="preserve">S19</t>
  </si>
  <si>
    <t xml:space="preserve">Exportações brasileiras alcançam US$ 349 bi em 2025</t>
  </si>
  <si>
    <t xml:space="preserve">MDIC</t>
  </si>
  <si>
    <t xml:space="preserve">https://www.gov.br/mdic/pt-br/assuntos/noticias/2026/janeiro/exportacoes-brasileiras-alcancam-us-349-bi-em-2025-e-batem-recorde-historico</t>
  </si>
  <si>
    <t xml:space="preserve">01/2026</t>
  </si>
  <si>
    <t xml:space="preserve">Balança comercial 2025 (divulgação)</t>
  </si>
  <si>
    <t xml:space="preserve">Nota</t>
  </si>
  <si>
    <t xml:space="preserve">Divulgação: exp. 348,7; imp. 280,4; saldo 68,3 (API atual: 348,28 / 280,21).</t>
  </si>
  <si>
    <t xml:space="preserve">BNDES – desempenho 2019 e balanço 2025</t>
  </si>
  <si>
    <t xml:space="preserve">BNDES (via Agência Brasil / Estado de Minas)</t>
  </si>
  <si>
    <t xml:space="preserve">https://agenciabrasil.ebc.com.br/economia/noticia/2026-03/injecao-do-bndes-na-economia-equivale-r-1-bilhao-por-dia-em-2025</t>
  </si>
  <si>
    <t xml:space="preserve">03/2020 e 03/2026</t>
  </si>
  <si>
    <t xml:space="preserve">Desembolsos, aprovações, consultas, garantias</t>
  </si>
  <si>
    <t xml:space="preserve">Notícias com dados do BNDES</t>
  </si>
  <si>
    <t xml:space="preserve">2019: desembolsos 55,314; aprovações 63,077. 2025: desembolsos 169,7; aprovações 237,9; garantias 128,2.</t>
  </si>
  <si>
    <t xml:space="preserve">Alta (reproduz BNDES)</t>
  </si>
  <si>
    <t xml:space="preserve">S21</t>
  </si>
  <si>
    <t xml:space="preserve">Plano Safra 2019/2020 e 2025/2026</t>
  </si>
  <si>
    <t xml:space="preserve">MAPA / MDA</t>
  </si>
  <si>
    <t xml:space="preserve">https://www.gov.br/agricultura/pt-br/assuntos/noticias/governo-federal-lanca-plano-safra-2025-2026-com-r-516-2-bilhoes-para-impulsionar-o-agro-brasileiro</t>
  </si>
  <si>
    <t xml:space="preserve">06/2019 e 07/2025</t>
  </si>
  <si>
    <t xml:space="preserve">Ciclos 2019/20 e 2025/26</t>
  </si>
  <si>
    <t xml:space="preserve">Recursos anunciados</t>
  </si>
  <si>
    <t xml:space="preserve">Notas oficiais</t>
  </si>
  <si>
    <t xml:space="preserve">Valores anunciados (disponibilidade de crédito), não contratados. Ciclo jul–jun.</t>
  </si>
  <si>
    <t xml:space="preserve">S22</t>
  </si>
  <si>
    <t xml:space="preserve">World Bank WDI – GB.XPD.RSDV.GD.ZS (fonte primária: MCTI/UNESCO)</t>
  </si>
  <si>
    <t xml:space="preserve">Banco Mundial / UNESCO-UIS</t>
  </si>
  <si>
    <t xml:space="preserve">https://api.worldbank.org/v2/country/BRA/indicator/GB.XPD.RSDV.GD.ZS?format=json&amp;date=2018:2024</t>
  </si>
  <si>
    <t xml:space="preserve">Atualizado 13/07/2026</t>
  </si>
  <si>
    <t xml:space="preserve">2019 e 2023</t>
  </si>
  <si>
    <t xml:space="preserve">Dispêndio nacional em P&amp;D (% PIB)</t>
  </si>
  <si>
    <t xml:space="preserve">WDI</t>
  </si>
  <si>
    <t xml:space="preserve">Páginas do MCTI inacessíveis (período eleitoral). 2019 = 1,151%; 2023 = 1,194% (último disponível).</t>
  </si>
  <si>
    <t xml:space="preserve">Alta (série internacional oficial)</t>
  </si>
  <si>
    <t xml:space="preserve">S23</t>
  </si>
  <si>
    <t xml:space="preserve">Novo PAC – execução orçamentária 2025</t>
  </si>
  <si>
    <t xml:space="preserve">Casa Civil (via Agência Gov)</t>
  </si>
  <si>
    <t xml:space="preserve">https://agenciagov.ebc.com.br/noticias/202601/novo-pac-alcanca-execucao-orcamentaria-total-em-2025-e-consolida-desempenho-financeiro-expressivo</t>
  </si>
  <si>
    <t xml:space="preserve">Dotação e empenho OGU do Novo PAC</t>
  </si>
  <si>
    <t xml:space="preserve">Dotação 2025 R$ 49,8 bi com 100% empenhado; pagamentos OGU 2023–2025 acumulados R$ 117,7 bi. Página hoje fora do ar (legislação eleitoral) – dado obtido do resumo do buscador.</t>
  </si>
  <si>
    <t xml:space="preserve">Média</t>
  </si>
  <si>
    <t xml:space="preserve">Abdib – investimentos em infraestrutura 2019 e 2025</t>
  </si>
  <si>
    <t xml:space="preserve">Abdib (via Conjur, CNN Brasil e site Abdib)</t>
  </si>
  <si>
    <t xml:space="preserve">https://conjur.com.br/2026-abr-05/investimento-privado-na-infraestrutura-bate-recorde-em-2025/</t>
  </si>
  <si>
    <t xml:space="preserve">12/2020 e 04/2026</t>
  </si>
  <si>
    <t xml:space="preserve">Investimento total em infraestrutura por setor</t>
  </si>
  <si>
    <t xml:space="preserve">Livro Azul / notícias</t>
  </si>
  <si>
    <t xml:space="preserve">Entidade setorial privada; cifras de todas as esferas e do setor privado. 2019: R$ 123,9 bi; 2025: R$ 280 bi (R$ 235 bi privados).</t>
  </si>
  <si>
    <t xml:space="preserve">Média (entidade setorial)</t>
  </si>
  <si>
    <t xml:space="preserve">S25</t>
  </si>
  <si>
    <t xml:space="preserve">Relatório Inesc/MIR 2025 – orçamento da igualdade racial</t>
  </si>
  <si>
    <t xml:space="preserve">Inesc / Alma Preta</t>
  </si>
  <si>
    <t xml:space="preserve">https://almapreta.com.br/sessao/politica/governo-orcamento-igualdade-racial-monitoramento-desafio/</t>
  </si>
  <si>
    <t xml:space="preserve">2026</t>
  </si>
  <si>
    <t xml:space="preserve">Orçamento do Ministério da Igualdade Racial e agenda transversal</t>
  </si>
  <si>
    <t xml:space="preserve">MIR: autorizado R$ 139,32 mi, executado R$ 137,08 mi; agenda transversal R$ 674,71 mi autorizados, R$ 548,32 mi empenhados.</t>
  </si>
  <si>
    <t xml:space="preserve">Média (imprensa/ONG)</t>
  </si>
  <si>
    <t xml:space="preserve">S26</t>
  </si>
  <si>
    <t xml:space="preserve">Nova Indústria Brasil completa 1 ano com R$ 3,4 trilhões</t>
  </si>
  <si>
    <t xml:space="preserve">https://www.gov.br/mdic/pt-br/assuntos/noticias/2025/fevereiro/nib-completa-1-ano-com-r-3-4-trilhoes-de-investimentos-e-crescimento-industrial</t>
  </si>
  <si>
    <t xml:space="preserve">12/02/2025</t>
  </si>
  <si>
    <t xml:space="preserve">2024–2025 (anúncios plurianuais)</t>
  </si>
  <si>
    <t xml:space="preserve">Investimentos privados anunciados na indústria</t>
  </si>
  <si>
    <t xml:space="preserve">R$ 2,2 tri anunciados pelo setor privado (horizonte plurianual) + R$ 1,2 tri federais. Não é execução anual.</t>
  </si>
  <si>
    <t xml:space="preserve">Média (anúncio)</t>
  </si>
  <si>
    <t xml:space="preserve">S27</t>
  </si>
  <si>
    <t xml:space="preserve">IDP 2019 (divulgação original) e 2025</t>
  </si>
  <si>
    <t xml:space="preserve">BCB (via IstoÉ Dinheiro e Poder360)</t>
  </si>
  <si>
    <t xml:space="preserve">https://www.poder360.com.br/poder-economia/investimento-direto-soma-us-777-bi-em-2025-maior-em-7-anos/</t>
  </si>
  <si>
    <t xml:space="preserve">01/2020 e 01/2026</t>
  </si>
  <si>
    <t xml:space="preserve">Investimento direto no país</t>
  </si>
  <si>
    <t xml:space="preserve">Notícias</t>
  </si>
  <si>
    <t xml:space="preserve">Original 2019: US$ 78,559 bi; série atual SGS 22885: US$ 69,17 bi (revisão metodológica).</t>
  </si>
  <si>
    <t xml:space="preserve">S28</t>
  </si>
  <si>
    <t xml:space="preserve">Déficit primário do Governo Central de 2019 e 2025</t>
  </si>
  <si>
    <t xml:space="preserve">Agência Brasil (dados STN)</t>
  </si>
  <si>
    <t xml:space="preserve">https://agenciabrasil.ebc.com.br/economia/noticia/2026-01/deficit-primario-do-governo-central-totaliza-r-617-bilhoes-em-2025</t>
  </si>
  <si>
    <t xml:space="preserve">Resultado primário e compensações da meta</t>
  </si>
  <si>
    <t xml:space="preserve">2025: déficit R$ 61,69 bi; excluídas compensações autorizadas (R$ 48,68 bi) ⇒ R$ 13 bi (0,1% PIB).</t>
  </si>
  <si>
    <t xml:space="preserve">Alta (reproduz STN)</t>
  </si>
  <si>
    <t xml:space="preserve">S29</t>
  </si>
  <si>
    <t xml:space="preserve">Arrecadação federal 2016 (R$ 1,289 tri) e 2022 (R$ 2,218 tri)</t>
  </si>
  <si>
    <t xml:space="preserve">https://www.gov.br/receitafederal/pt-br/assuntos/noticias/2023/janeiro/arrecadacao-federal-alcanca-mais-de-r-2-21-trilhoes-no-acumulado-de-janeiro-a-dezembro-de-2022</t>
  </si>
  <si>
    <t xml:space="preserve">01/2017 e 01/2023</t>
  </si>
  <si>
    <t xml:space="preserve">2016 e 2022</t>
  </si>
  <si>
    <t xml:space="preserve">DPF encerra 2016 em R$ 3,113 tri; DPF fecha 2022 em R$ 5,951 tri</t>
  </si>
  <si>
    <t xml:space="preserve">Tesouro Nacional (via Agência Brasil / InfoMoney)</t>
  </si>
  <si>
    <t xml:space="preserve">https://agenciabrasil.ebc.com.br/economia/noticia/2017-01/divida-publica-federal-encerra-2016-em-r-3113-trilhoes</t>
  </si>
  <si>
    <t xml:space="preserve">RMD</t>
  </si>
  <si>
    <t xml:space="preserve">DPMFi: R$ 2,986 tri (2016) e R$ 5,698 tri (2022).</t>
  </si>
  <si>
    <t xml:space="preserve">Setor público: déficit primário de R$ 155,791 bi em 2016; superávit de R$ 126 bi em 2022</t>
  </si>
  <si>
    <t xml:space="preserve">BCB (via MEON/Estadão e CNN Brasil/Monitor Mercantil)</t>
  </si>
  <si>
    <t xml:space="preserve">https://www.cnnbrasil.com.br/economia/seu-bolso/meu-dinheiro/setor-publico-consolidado-registra-superavit-de-r-126-bi-em-2022-aponta-bc/</t>
  </si>
  <si>
    <t xml:space="preserve">Primário e juros nominais do setor público consolidado</t>
  </si>
  <si>
    <t xml:space="preserve">Notícias com dados BCB</t>
  </si>
  <si>
    <t xml:space="preserve">Juros: R$ 407,024 bi (6,46% PIB) em 2016; R$ 586,4 bi (5,96% PIB) em 2022.</t>
  </si>
  <si>
    <t xml:space="preserve">S32</t>
  </si>
  <si>
    <t xml:space="preserve">BNDES desembolsa R$ 88,3 bi em 2016; Relatório Anual 2022 (R$ 97,5 bi)</t>
  </si>
  <si>
    <t xml:space="preserve">https://www.bndes.gov.br/wps/portal/site/home/imprensa/noticias/conteudo/bndes-desembolsa-88-3-bilhoes-em-2016</t>
  </si>
  <si>
    <t xml:space="preserve">01/2017 e 2023</t>
  </si>
  <si>
    <t xml:space="preserve">Desembolsos e aprovações</t>
  </si>
  <si>
    <t xml:space="preserve">Nota / Relatório Anual</t>
  </si>
  <si>
    <t xml:space="preserve">Aprovações 2016: R$ 79,2 bi. Aprovações 2022 não publicadas diretamente nas fontes acessadas; estimadas a partir das variações divulgadas pelo BNDES (2023 = R$ 175 bi, +32%; 2025 = R$ 237,9 bi, +80% sobre 2022) ⇒ ≈ R$ 132,5 bi.</t>
  </si>
  <si>
    <t xml:space="preserve">Alta / estimativa</t>
  </si>
  <si>
    <t xml:space="preserve">S33</t>
  </si>
  <si>
    <t xml:space="preserve">Caged 2016 (sistema antigo) e Novo Caged 2022</t>
  </si>
  <si>
    <t xml:space="preserve">MTb/MTE (via IstoÉ Dinheiro e Agência Brasil)</t>
  </si>
  <si>
    <t xml:space="preserve">https://agenciabrasil.ebc.com.br/economia/noticia/2023-01/dezembro-fecha-com-saldo-negativo-de-431011-empregos-diz-novo-caged</t>
  </si>
  <si>
    <t xml:space="preserve">Notícias com dados do Caged</t>
  </si>
  <si>
    <t xml:space="preserve">2016: saldo −1.321.994; admissões ~14,7 mi e desligamentos ~16,1 mi (arredondados). 2022: 22.648.395 admissões, 20.610.413 desligamentos, estoque dez/2022 42.716.337.</t>
  </si>
  <si>
    <t xml:space="preserve">Alta (reproduz MTE)</t>
  </si>
  <si>
    <t xml:space="preserve">S34</t>
  </si>
  <si>
    <t xml:space="preserve">PNAD Contínua – taxa média anual de desocupação 2016 (11,5%) e 2022 (9,3%)</t>
  </si>
  <si>
    <t xml:space="preserve">https://agenciadenoticias.ibge.gov.br/agencia-sala-de-imprensa/2013-agencia-de-noticias/releases/36336-pnad-continua-em-2022-taxa-media-anual-de-desocupacao-foi-de-9-3-enquanto-de-taxa-de-subutilizacao-foi-de-20-8</t>
  </si>
  <si>
    <t xml:space="preserve">02/2017 e 02/2023</t>
  </si>
  <si>
    <t xml:space="preserve">Desocupados 2022: 10,0 milhões.</t>
  </si>
  <si>
    <t xml:space="preserve">S35</t>
  </si>
  <si>
    <t xml:space="preserve">Plano Agrícola e Pecuário 2016/2017 e Plano Safra 2022/2023</t>
  </si>
  <si>
    <t xml:space="preserve">MAPA / MDA (via Agrolink e Agência Brasil)</t>
  </si>
  <si>
    <t xml:space="preserve">https://agenciabrasil.ebc.com.br/economia/noticia/2022-06/plano-safra-20222023-anuncia-r-3408-bilhoes-para-agropecuaria</t>
  </si>
  <si>
    <t xml:space="preserve">05/2016 e 06/2022</t>
  </si>
  <si>
    <t xml:space="preserve">Ciclos 2016/17 e 2022/23</t>
  </si>
  <si>
    <t xml:space="preserve">2016/17: PAP R$ 202,88 bi (anúncio; ajustado depois para R$ 185 bi) + Plano Safra da Agricultura Familiar R$ 30 bi. 2022/23: R$ 340,88 bi, incluindo Pronaf R$ 53,61 bi.</t>
  </si>
  <si>
    <t xml:space="preserve">Alta (reproduz MAPA)</t>
  </si>
  <si>
    <t xml:space="preserve">Subsídios da União 2016 (Fazenda) e 2022 (OSU/MPO)</t>
  </si>
  <si>
    <t xml:space="preserve">Ministério da Fazenda (via Poder360) / MPO</t>
  </si>
  <si>
    <t xml:space="preserve">https://www.gov.br/planejamento/pt-br/assuntos/noticias/2023/junho/subsidios-concedidos-pela-uniao-atingem-r-581-49-bilhoes-em-2022</t>
  </si>
  <si>
    <t xml:space="preserve">2017 e 06/2023</t>
  </si>
  <si>
    <t xml:space="preserve">2016: R$ 386 bi (271 tributários + 115 financeiros/creditícios; 1ª edição, pode ter sido revisada). 2022: R$ 581,49 bi (461,05 + 120,43).</t>
  </si>
  <si>
    <t xml:space="preserve">S37</t>
  </si>
  <si>
    <t xml:space="preserve">Investimentos privados em infraestrutura somam R$ 131 bi (2022)</t>
  </si>
  <si>
    <t xml:space="preserve">Abdib (via Diário do Comércio)</t>
  </si>
  <si>
    <t xml:space="preserve">https://diariodocomercio.com.br/economia/investimentos-privados-em-infraestrutura-somam-r-131-bi-no-pais/</t>
  </si>
  <si>
    <t xml:space="preserve">2023</t>
  </si>
  <si>
    <t xml:space="preserve">Investimento privado e público em infraestrutura</t>
  </si>
  <si>
    <t xml:space="preserve">2022: privado R$ 131 bi; setor público (todas as esferas) R$ 31,9 bi. 2016: 1,94% do PIB (sem valor em R$).</t>
  </si>
  <si>
    <t xml:space="preserve">S38</t>
  </si>
  <si>
    <t xml:space="preserve">Governo Central registra superávit de R$ 54,086 bi em 2022</t>
  </si>
  <si>
    <t xml:space="preserve">Tesouro (via Agência Brasil)</t>
  </si>
  <si>
    <t xml:space="preserve">https://agenciabrasil.ebc.com.br/economia/noticia/2023-01/governo-central-registra-superavit-de-r-54086-bi-em-2022</t>
  </si>
  <si>
    <t xml:space="preserve">01/2023</t>
  </si>
  <si>
    <t xml:space="preserve">Resultado primário do Governo Central (divulgação original)</t>
  </si>
  <si>
    <t xml:space="preserve">Série histórica atual do RTN registra R$ 46,4 bi (revisões posteriores).</t>
  </si>
  <si>
    <t xml:space="preserve">S39</t>
  </si>
  <si>
    <t xml:space="preserve">PAC: estoque de restos a pagar supera orçamento de 2016</t>
  </si>
  <si>
    <t xml:space="preserve">Senado Federal (notícia)</t>
  </si>
  <si>
    <t xml:space="preserve">https://www2.senado.leg.br/bdsf/bitstream/handle/id/50561/noticia.htm?sequence=1&amp;isAllowed=y</t>
  </si>
  <si>
    <t xml:space="preserve">Orçamento previsto do PAC em 2016</t>
  </si>
  <si>
    <t xml:space="preserve">Orçamento do PAC em 2016 ≈ R$ 42 bi (dotação, não pagamento).</t>
  </si>
  <si>
    <t xml:space="preserve">Média (imprensa)</t>
  </si>
  <si>
    <t xml:space="preserve">S40</t>
  </si>
  <si>
    <t xml:space="preserve">Portal da Transparência – execução por ação orçamentária (8442, 21DP, 4002, 2994, 0A12)</t>
  </si>
  <si>
    <t xml:space="preserve">https://portaldatransparencia.gov.br/programas-e-acoes/acao/8442?ano=2025</t>
  </si>
  <si>
    <t xml:space="preserve">Orçamento atualizado, empenho, liquidação, pagamento e RAP pagos</t>
  </si>
  <si>
    <t xml:space="preserve">Painel 'Execução das despesas da ação no ano corrente'</t>
  </si>
  <si>
    <t xml:space="preserve">Consulta interrompida depois por verificação humana (CAPTCHA) do Portal, que não foi contornada.</t>
  </si>
  <si>
    <t xml:space="preserve">S41</t>
  </si>
  <si>
    <t xml:space="preserve">RTN – Tabela 2.2 (Bolsa Família e Auxílio Brasil)</t>
  </si>
  <si>
    <t xml:space="preserve">Tesouro Nacional</t>
  </si>
  <si>
    <t xml:space="preserve">Linha 4.4.1.2</t>
  </si>
  <si>
    <t xml:space="preserve">Tabela 2.2</t>
  </si>
  <si>
    <t xml:space="preserve">Critério caixa.</t>
  </si>
  <si>
    <t xml:space="preserve">S42</t>
  </si>
  <si>
    <t xml:space="preserve">MDS/Casa Civil – famílias atendidas e benefício médio</t>
  </si>
  <si>
    <t xml:space="preserve">MDS / Casa Civil (via gov.br e imprensa)</t>
  </si>
  <si>
    <t xml:space="preserve">https://www.gov.br/mds/pt-br/noticias-e-conteudos/desenvolvimento-social/noticias-desenvolvimento-social/em-novo-recorde-mais-de-21-6-milhoes-de-familias-recebem-o-auxilio-brasil-em-dezembro</t>
  </si>
  <si>
    <t xml:space="preserve">2016–2025</t>
  </si>
  <si>
    <t xml:space="preserve">set/2016, out/2019, dez/2022, dez/2025</t>
  </si>
  <si>
    <t xml:space="preserve">Famílias e benefício médio</t>
  </si>
  <si>
    <t xml:space="preserve">2022: 21,6 mi famílias, R$ 607,14; 2025: 18,7 mi famílias, R$ 691,37; 2019: 13,5 mi (out); 2016: 13,9 mi (set, imprensa).</t>
  </si>
  <si>
    <t xml:space="preserve">Alta / Média (2016)</t>
  </si>
  <si>
    <t xml:space="preserve">S43</t>
  </si>
  <si>
    <t xml:space="preserve">Auxílio Gás – orçamento 2022 e novo programa 2025</t>
  </si>
  <si>
    <t xml:space="preserve">MDS; Gazeta do Povo</t>
  </si>
  <si>
    <t xml:space="preserve">https://www.gazetadopovo.com.br/republica/governo-novo-vale-gas-custo-2-6-bilhoes-em-2025/</t>
  </si>
  <si>
    <t xml:space="preserve">2023 e 2025</t>
  </si>
  <si>
    <t xml:space="preserve">2022 e 2025</t>
  </si>
  <si>
    <t xml:space="preserve">Recursos do Auxílio Gás</t>
  </si>
  <si>
    <t xml:space="preserve">2022: R$ 2,8 bi (MDS, orçamento); 2025: R$ 2,6 bi (custo previsto).</t>
  </si>
  <si>
    <t xml:space="preserve">S44</t>
  </si>
  <si>
    <t xml:space="preserve">Pé-de-Meia – recursos de 2025 e decisão do TCU</t>
  </si>
  <si>
    <t xml:space="preserve">MEC / TCU (via Rádio Senado e imprensa)</t>
  </si>
  <si>
    <t xml:space="preserve">https://www12.senado.leg.br/radio/1/noticia/2025/02/13/tcu-libera-retomada-do-programa-pe-de-meia-incentivo-a-conclusao-do-ensino-medio</t>
  </si>
  <si>
    <t xml:space="preserve">02/2025</t>
  </si>
  <si>
    <t xml:space="preserve">Recursos do Pé-de-Meia</t>
  </si>
  <si>
    <t xml:space="preserve">R$ 13 bi previstos para 2025, pagos via Fipem.</t>
  </si>
  <si>
    <t xml:space="preserve">S45</t>
  </si>
  <si>
    <t xml:space="preserve">PNAE – Dados físicos e financeiros; orçamento 2025</t>
  </si>
  <si>
    <t xml:space="preserve">FNDE / MEC (via Agência Gov e CNM)</t>
  </si>
  <si>
    <t xml:space="preserve">https://www.gov.br/fnde/pt-br/acesso-a-informacao/acoes-e-programas/programas/pnae/consultas/pnae-dados-fisicos-e-financeiros-do-pnae</t>
  </si>
  <si>
    <t xml:space="preserve">2016–2023; 2025 (orçamento)</t>
  </si>
  <si>
    <t xml:space="preserve">Recursos repassados e alunos atendidos</t>
  </si>
  <si>
    <t xml:space="preserve">Quadros 1 e 2</t>
  </si>
  <si>
    <t xml:space="preserve">2016: R$ 3,42 bi / 40,3 mi alunos; 2019: R$ 3,95 bi / 40,2 mi; 2022: R$ 3,56 bi / 39,58 mi; 2023: R$ 5,26 bi; 2025: orçamento estimado R$ 5,5 bi.</t>
  </si>
  <si>
    <t xml:space="preserve">S46</t>
  </si>
  <si>
    <t xml:space="preserve">Nota Técnica Conof/CD nº 26/2021 – séries do Fies e do Prouni</t>
  </si>
  <si>
    <t xml:space="preserve">Câmara dos Deputados</t>
  </si>
  <si>
    <t xml:space="preserve">https://www2.camara.leg.br/orcamento-da-uniao/estudos/2021/NT26_2021PSOLUniversidadesFieseProuni.pdf</t>
  </si>
  <si>
    <t xml:space="preserve">2021</t>
  </si>
  <si>
    <t xml:space="preserve">1999–2020</t>
  </si>
  <si>
    <t xml:space="preserve">Fies: autorizado e pago (em R$ de 2021)</t>
  </si>
  <si>
    <t xml:space="preserve">Gráficos 17 a 19</t>
  </si>
  <si>
    <t xml:space="preserve">Valores em preços de 2021; citados só como referência.</t>
  </si>
  <si>
    <t xml:space="preserve">S47</t>
  </si>
  <si>
    <t xml:space="preserve">Demonstrativo de Gastos Tributários – Bases Efetivas (2016, 2019 e 2022)</t>
  </si>
  <si>
    <t xml:space="preserve">Receita Federal</t>
  </si>
  <si>
    <t xml:space="preserve">https://www.gov.br/receitafederal/pt-br/centrais-de-conteudo/publicacoes/relatorios/renuncia/gastos-tributarios-bases-efetivas</t>
  </si>
  <si>
    <t xml:space="preserve">2019, 2022 e 2025</t>
  </si>
  <si>
    <t xml:space="preserve">2016, 2019, 2022 (efetivos) e 2025 (projeção)</t>
  </si>
  <si>
    <t xml:space="preserve">ProUni – total de IRPJ, CSLL, PIS e Cofins</t>
  </si>
  <si>
    <t xml:space="preserve">Quadros III, X e XXVI–XXXII</t>
  </si>
  <si>
    <t xml:space="preserve">ProUni: 2,1709 bi (2016); 2,1957 bi (2019); 2,8274 bi (2022); 3,6218 bi (projeção 2025).</t>
  </si>
  <si>
    <t xml:space="preserve">Dados não localizados ou só aproximados – tentativas de busca</t>
  </si>
  <si>
    <t xml:space="preserve">Item</t>
  </si>
  <si>
    <t xml:space="preserve">Fontes tentadas</t>
  </si>
  <si>
    <t xml:space="preserve">Resultado / tratamento</t>
  </si>
  <si>
    <t xml:space="preserve">Investimentos do PAC pagos em 2019</t>
  </si>
  <si>
    <t xml:space="preserve">Boletim RTN dez/2019 (PDF thot 31547 – conteúdo não extraível), TCU Contas do Governo 2019 (página sem cifra do PAC), buscas Contas Abertas/Agência Brasil/Ipea</t>
  </si>
  <si>
    <t xml:space="preserve">Não foi localizada cifra anual oficial de PAC pago em 2019 (o PAC deixou de ter marcador próprio nas estatísticas do RTN após 2019).</t>
  </si>
  <si>
    <t xml:space="preserve">P&amp;D realizado em 2025</t>
  </si>
  <si>
    <t xml:space="preserve">MCTI (indicadores 1.1.3 e 2.1.3 – páginas bloqueadas 'Conteúdo restrito' durante período eleitoral), Ipea/CTS, World Bank WDI</t>
  </si>
  <si>
    <t xml:space="preserve">Último dado nacional publicado = 2023 (1,19% PIB). Usado como aproximação.</t>
  </si>
  <si>
    <t xml:space="preserve">Investimento privado industrial anunciado em 2019</t>
  </si>
  <si>
    <t xml:space="preserve">MDIC, Renai, CNI, imprensa</t>
  </si>
  <si>
    <t xml:space="preserve">Não há levantamento anual comparável em 2019 (a NIB e seu painel de anúncios começaram em 2024).</t>
  </si>
  <si>
    <t xml:space="preserve">Gastos tributários efetivos (realizados) de 2025</t>
  </si>
  <si>
    <t xml:space="preserve">Receita Federal – DGT Bases Efetivas (último publicado não cobre 2025 como realizado), nota técnica PLOA 2026</t>
  </si>
  <si>
    <t xml:space="preserve">Usada a última projeção oficial para 2025 (estimativa).</t>
  </si>
  <si>
    <t xml:space="preserve">Dotação inicial (LOA) do programa de igualdade racial</t>
  </si>
  <si>
    <t xml:space="preserve">Portal da Transparência (exibe apenas orçamento atualizado), Inesc</t>
  </si>
  <si>
    <t xml:space="preserve">Apresentado o orçamento atualizado como 'previsto'.</t>
  </si>
  <si>
    <t xml:space="preserve">Pagamentos do Novo PAC no ano de 2025</t>
  </si>
  <si>
    <t xml:space="preserve">Casa Civil (páginas fora do ar por legislação eleitoral), Agência Gov</t>
  </si>
  <si>
    <t xml:space="preserve">Disponível apenas o acumulado 2023–2025 (R$ 117,7 bi) e a dotação/empenho de 2025.</t>
  </si>
  <si>
    <t xml:space="preserve">Abdib – investimento privado em 2019 e rodovias/ferrovias/portos/aeroportos separadamente</t>
  </si>
  <si>
    <t xml:space="preserve">Site Abdib, Conjur, CNN, Exame</t>
  </si>
  <si>
    <t xml:space="preserve">Só foram localizados totais por macrossetor (transporte e logística; saneamento; energia; telecom).</t>
  </si>
  <si>
    <t xml:space="preserve">Igualdade racial em 2022</t>
  </si>
  <si>
    <t xml:space="preserve">Portal da Transparência, Inesc, buscas por programa 5034 (PPA 2020–23)</t>
  </si>
  <si>
    <t xml:space="preserve">Não havia programa orçamentário específico de igualdade racial no PPA 2020–23 (ações diluídas no programa 5034 do MMFDH); não há recorte comparável.</t>
  </si>
  <si>
    <t xml:space="preserve">PAC em 2022</t>
  </si>
  <si>
    <t xml:space="preserve">Não se aplica: o PAC foi descontinuado após 2019 e o Novo PAC só foi lançado em 2023.</t>
  </si>
  <si>
    <t xml:space="preserve">Estoque de emprego formal em dez/2016 (valor exato)</t>
  </si>
  <si>
    <t xml:space="preserve">Agência Brasil, IstoÉ Dinheiro, MTE</t>
  </si>
  <si>
    <t xml:space="preserve">Não localizado o número exato; estimado a partir do saldo de dezembro (−462.366 = −1,19% do estoque de novembro).</t>
  </si>
  <si>
    <t xml:space="preserve">Aprovações do BNDES em 2022</t>
  </si>
  <si>
    <t xml:space="preserve">Relatório Anual 2022, notícias BNDES</t>
  </si>
  <si>
    <t xml:space="preserve">Não localizado diretamente; estimado a partir das variações publicadas pelo BNDES.</t>
  </si>
  <si>
    <t xml:space="preserve">Abdib por setor em 2016 e 2022; privado em 2016</t>
  </si>
  <si>
    <t xml:space="preserve">Site Abdib, Diário do Comércio, CNN</t>
  </si>
  <si>
    <t xml:space="preserve">Só foram localizados totais (2022) e % do PIB (2016).</t>
  </si>
  <si>
    <t xml:space="preserve">Desocupados (média anual) em 2016</t>
  </si>
  <si>
    <t xml:space="preserve">IBGE, imprensa</t>
  </si>
  <si>
    <t xml:space="preserve">Não localizado o número absoluto; a taxa (11,5%) foi localizada.</t>
  </si>
  <si>
    <t xml:space="preserve">Fies – concessão de financiamentos (ação 00IG) e PNAE por ação orçamentária</t>
  </si>
  <si>
    <t xml:space="preserve">Portal da Transparência (bloqueado por CAPTCHA), FNDE, Câmara</t>
  </si>
  <si>
    <t xml:space="preserve">Usados: impacto primário (RTN), repasses do PNAE (FNDE) e NT Conof 26/2021 como referência em preços de 2021.</t>
  </si>
  <si>
    <t xml:space="preserve">Fies – novos contratos por ano</t>
  </si>
  <si>
    <t xml:space="preserve">MEC, FNDE, imprensa</t>
  </si>
  <si>
    <t xml:space="preserve">Série anual comparável não localizada.</t>
  </si>
  <si>
    <t xml:space="preserve">Benefício médio do Bolsa Família em 2016 e 2019</t>
  </si>
  <si>
    <t xml:space="preserve">MDS (páginas antigas), imprensa</t>
  </si>
  <si>
    <t xml:space="preserve">Somente resumos secundários divergentes; não registrados.</t>
  </si>
  <si>
    <t xml:space="preserve">Pé-de-Meia pago em 2025</t>
  </si>
  <si>
    <t xml:space="preserve">MEC, TCU, imprensa</t>
  </si>
  <si>
    <t xml:space="preserve">Localizada só a previsão anual (R$ 13 bi).</t>
  </si>
  <si>
    <t xml:space="preserve">Outras ações no Portal (ex.: BPC idoso 2025, Auxílio Gás por ação)</t>
  </si>
  <si>
    <t xml:space="preserve">Portal da Transparência</t>
  </si>
  <si>
    <t xml:space="preserve">Consulta bloqueada por verificação humana (CAPTCHA), que não foi contornada; usaram-se RTN e notícias oficiais.</t>
  </si>
  <si>
    <t xml:space="preserve">ProUni (renúncia tributária) por ano</t>
  </si>
  <si>
    <t xml:space="preserve">Receita Federal (DGT), Portal da Transparência – Renúncias</t>
  </si>
  <si>
    <t xml:space="preserve">Não incluído: valores anuais comparáveis não localizados na busca.</t>
  </si>
  <si>
    <t xml:space="preserve">Regras metodológicas aplicadas</t>
  </si>
  <si>
    <t xml:space="preserve">1. Fluxos anuais nunca são somados a estoques (DPF, DBGG, DLSP, estoque de emprego).</t>
  </si>
  <si>
    <t xml:space="preserve">2. Previsão orçamentária (dotação) separada da execução (empenho, liquidação, pagamento).</t>
  </si>
  <si>
    <t xml:space="preserve">3. Juros (GND 2), amortização (GND 6) e refinanciamento em linhas próprias.</t>
  </si>
  <si>
    <t xml:space="preserve">4. DPF (União) separada da DBGG (Governo Geral) e da DLSP (setor público consolidado).</t>
  </si>
  <si>
    <t xml:space="preserve">5. Desembolsos do BNDES não tratados como despesa da LOA.</t>
  </si>
  <si>
    <t xml:space="preserve">6. Investimentos privados: anunciados, aprovados e realizados em linhas distintas.</t>
  </si>
  <si>
    <t xml:space="preserve">7. Plano Safra por ciclo agrícola (jul–jun), que não coincide com o ano civil.</t>
  </si>
  <si>
    <t xml:space="preserve">8. Emprego: estoque em 31/dez; fluxos acumulados no ano; quebra Caged → Novo Caged em 2020.</t>
  </si>
  <si>
    <t xml:space="preserve">9. PIB em valores correntes e VAB por atividade; atividades financeiras separadas.</t>
  </si>
  <si>
    <t xml:space="preserve">10. Divergências entre fontes registradas nas observações (ex.: primário 2022 original × série atual; exportações 2019; IDP 2019; desocupação).</t>
  </si>
  <si>
    <t xml:space="preserve">11. IPCA dez/ano → dez/2025: 2016 ≈ 1,5502; 2019 ≈ 1,3915; 2022 ≈ 1,1435. Não se aplica a US$, pessoas ou taxas.</t>
  </si>
  <si>
    <t xml:space="preserve">12. Séries oficiais (SIDRA, RTN, RREO/Siconfi, BCB/SGS, Comex Stat) foram consultadas na versão atual (revisada), o que pode diferir das divulgações originais de 2016 e 2022.</t>
  </si>
  <si>
    <t xml:space="preserve">13. Limitação: páginas gov.br de MCTI, Casa Civil e MIR fora do ar em 22/09/2026 (legislação eleitoral).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</si>
</sst>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#,##0.00"/>
    <numFmt numFmtId="167" formatCode="0.0000"/>
    <numFmt numFmtId="168" formatCode="#,##0.00;[RED]\-#,##0.00"/>
    <numFmt numFmtId="169" formatCode="0.00%;[RED]\-0.00%"/>
    <numFmt numFmtId="170" formatCode="0.00&quot; p.p.&quot;;[RED]\-0.00&quot; p.p.&quot;"/>
    <numFmt numFmtId="171" formatCode="#,##0;[RED]\-#,##0"/>
    <numFmt numFmtId="172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apisidra.ibge.gov.br/values/t/1846/n1/all/v/all/p/201901,201902,201903,201904,202501,202502,202503,202504/c11255/all" TargetMode="External"/><Relationship Id="rId2" Type="http://schemas.openxmlformats.org/officeDocument/2006/relationships/hyperlink" Target="https://agenciadenoticias.ibge.gov.br/agencia-sala-de-imprensa/2013-agencia-de-noticias/releases/45968-pib-cresce-2-3-em-2025-e-fecha-o-ano-em-r-12-7-trilhoes" TargetMode="External"/><Relationship Id="rId3" Type="http://schemas.openxmlformats.org/officeDocument/2006/relationships/hyperlink" Target="https://apisidra.ibge.gov.br/values/t/1737/n1/all/v/2266/p/201912,202512" TargetMode="External"/><Relationship Id="rId4" Type="http://schemas.openxmlformats.org/officeDocument/2006/relationships/hyperlink" Target="https://www.tesourotransparente.gov.br/publicacoes/boletim-resultado-do-tesouro-nacional-rtn/2025/12" TargetMode="External"/><Relationship Id="rId5" Type="http://schemas.openxmlformats.org/officeDocument/2006/relationships/hyperlink" Target="https://apidatalake.tesouro.gov.br/ords/siconfi/tt/rreo?an_exercicio=2025&amp;nr_periodo=6&amp;co_tipo_demonstrativo=RREO&amp;no_anexo=RREO-Anexo%2001&amp;co_esfera=U&amp;id_ente=1" TargetMode="External"/><Relationship Id="rId6" Type="http://schemas.openxmlformats.org/officeDocument/2006/relationships/hyperlink" Target="https://apidatalake.tesouro.gov.br/ords/siconfi/tt/rreo?an_exercicio=2025&amp;nr_periodo=6&amp;co_tipo_demonstrativo=RREO&amp;no_anexo=RREO-Anexo%2002&amp;co_esfera=U&amp;id_ente=1" TargetMode="External"/><Relationship Id="rId7" Type="http://schemas.openxmlformats.org/officeDocument/2006/relationships/hyperlink" Target="https://portaldatransparencia.gov.br/funcoes/10-saude?ano=2019" TargetMode="External"/><Relationship Id="rId8" Type="http://schemas.openxmlformats.org/officeDocument/2006/relationships/hyperlink" Target="https://api.bcb.gov.br/dados/serie/bcdata.sgs.13761/dados?formato=json" TargetMode="External"/><Relationship Id="rId9" Type="http://schemas.openxmlformats.org/officeDocument/2006/relationships/hyperlink" Target="https://agenciabrasil.ebc.com.br/economia/noticia/2020-01/contas-publicas-tem-deficit-primario-de-r-61872-bi-em-2019" TargetMode="External"/><Relationship Id="rId10" Type="http://schemas.openxmlformats.org/officeDocument/2006/relationships/hyperlink" Target="https://www.poder360.com.br/poder-economia/juro-da-divida-bate-recorde-e-deficit-nominal-supera-r-1-trilhao/" TargetMode="External"/><Relationship Id="rId11" Type="http://schemas.openxmlformats.org/officeDocument/2006/relationships/hyperlink" Target="https://www.gov.br/fazenda/pt-br/assuntos/noticias/2026/janeiro/divida-publica-encerra-2025-em-r-8-635-trilhoes-dentro-dos-limites-projetados-aponta-tesouro" TargetMode="External"/><Relationship Id="rId12" Type="http://schemas.openxmlformats.org/officeDocument/2006/relationships/hyperlink" Target="https://www.gov.br/receitafederal/pt-br/assuntos/noticias/2026/janeiro/arrecadacao-de-receitas-federais-alcanca-r-2-886-trilhoes-em-2025" TargetMode="External"/><Relationship Id="rId13" Type="http://schemas.openxmlformats.org/officeDocument/2006/relationships/hyperlink" Target="https://www.gov.br/economia/pt-br/assuntos/noticias/2020/julho/subsidios-concedidos-pela-uniao-atingem-r-348-3-bilhoes-em-2019" TargetMode="External"/><Relationship Id="rId14" Type="http://schemas.openxmlformats.org/officeDocument/2006/relationships/hyperlink" Target="https://www12.senado.leg.br/orcamento/documentos/estudos/tipos-de-estudos/notas-tecnicas-e-informativos/notatecnicaconjunta_ploa-2026_.pdf" TargetMode="External"/><Relationship Id="rId15" Type="http://schemas.openxmlformats.org/officeDocument/2006/relationships/hyperlink" Target="https://www.gov.br/trabalho-e-emprego/pt-br/noticias-e-conteudo/2026/janeiro/novo-caged-brasil-encerra-2025-com-saldo-positivo-de-1-27-milhao-de-empregos-formais" TargetMode="External"/><Relationship Id="rId16" Type="http://schemas.openxmlformats.org/officeDocument/2006/relationships/hyperlink" Target="https://agenciabrasil.ebc.com.br/economia/noticia/2020-01/caged-pais-gerou-644-mil-novas-vagas-de-trabalho-em-2019" TargetMode="External"/><Relationship Id="rId17" Type="http://schemas.openxmlformats.org/officeDocument/2006/relationships/hyperlink" Target="https://agenciadenoticias.ibge.gov.br/agencia-sala-de-imprensa/2013-agencia-de-noticias/releases/45759-pnad-continua-em-2025-taxa-anual-de-desocupacao-foi-de-5-6-enquanto-taxa-de-subutilizacao-foi-14-5" TargetMode="External"/><Relationship Id="rId18" Type="http://schemas.openxmlformats.org/officeDocument/2006/relationships/hyperlink" Target="https://api-comexstat.mdic.gov.br/general" TargetMode="External"/><Relationship Id="rId19" Type="http://schemas.openxmlformats.org/officeDocument/2006/relationships/hyperlink" Target="https://www.gov.br/mdic/pt-br/assuntos/noticias/2026/janeiro/exportacoes-brasileiras-alcancam-us-349-bi-em-2025-e-batem-recorde-historico" TargetMode="External"/><Relationship Id="rId20" Type="http://schemas.openxmlformats.org/officeDocument/2006/relationships/hyperlink" Target="https://agenciabrasil.ebc.com.br/economia/noticia/2026-03/injecao-do-bndes-na-economia-equivale-r-1-bilhao-por-dia-em-2025" TargetMode="External"/><Relationship Id="rId21" Type="http://schemas.openxmlformats.org/officeDocument/2006/relationships/hyperlink" Target="https://www.gov.br/agricultura/pt-br/assuntos/noticias/governo-federal-lanca-plano-safra-2025-2026-com-r-516-2-bilhoes-para-impulsionar-o-agro-brasileiro" TargetMode="External"/><Relationship Id="rId22" Type="http://schemas.openxmlformats.org/officeDocument/2006/relationships/hyperlink" Target="https://api.worldbank.org/v2/country/BRA/indicator/GB.XPD.RSDV.GD.ZS?format=json&amp;date=2018:2024" TargetMode="External"/><Relationship Id="rId23" Type="http://schemas.openxmlformats.org/officeDocument/2006/relationships/hyperlink" Target="https://agenciagov.ebc.com.br/noticias/202601/novo-pac-alcanca-execucao-orcamentaria-total-em-2025-e-consolida-desempenho-financeiro-expressivo" TargetMode="External"/><Relationship Id="rId24" Type="http://schemas.openxmlformats.org/officeDocument/2006/relationships/hyperlink" Target="https://conjur.com.br/2026-abr-05/investimento-privado-na-infraestrutura-bate-recorde-em-2025/" TargetMode="External"/><Relationship Id="rId25" Type="http://schemas.openxmlformats.org/officeDocument/2006/relationships/hyperlink" Target="https://almapreta.com.br/sessao/politica/governo-orcamento-igualdade-racial-monitoramento-desafio/" TargetMode="External"/><Relationship Id="rId26" Type="http://schemas.openxmlformats.org/officeDocument/2006/relationships/hyperlink" Target="https://www.gov.br/mdic/pt-br/assuntos/noticias/2025/fevereiro/nib-completa-1-ano-com-r-3-4-trilhoes-de-investimentos-e-crescimento-industrial" TargetMode="External"/><Relationship Id="rId27" Type="http://schemas.openxmlformats.org/officeDocument/2006/relationships/hyperlink" Target="https://www.poder360.com.br/poder-economia/investimento-direto-soma-us-777-bi-em-2025-maior-em-7-anos/" TargetMode="External"/><Relationship Id="rId28" Type="http://schemas.openxmlformats.org/officeDocument/2006/relationships/hyperlink" Target="https://agenciabrasil.ebc.com.br/economia/noticia/2026-01/deficit-primario-do-governo-central-totaliza-r-617-bilhoes-em-2025" TargetMode="External"/><Relationship Id="rId29" Type="http://schemas.openxmlformats.org/officeDocument/2006/relationships/hyperlink" Target="https://www.gov.br/receitafederal/pt-br/assuntos/noticias/2023/janeiro/arrecadacao-federal-alcanca-mais-de-r-2-21-trilhoes-no-acumulado-de-janeiro-a-dezembro-de-2022" TargetMode="External"/><Relationship Id="rId30" Type="http://schemas.openxmlformats.org/officeDocument/2006/relationships/hyperlink" Target="https://agenciabrasil.ebc.com.br/economia/noticia/2017-01/divida-publica-federal-encerra-2016-em-r-3113-trilhoes" TargetMode="External"/><Relationship Id="rId31" Type="http://schemas.openxmlformats.org/officeDocument/2006/relationships/hyperlink" Target="https://www.cnnbrasil.com.br/economia/seu-bolso/meu-dinheiro/setor-publico-consolidado-registra-superavit-de-r-126-bi-em-2022-aponta-bc/" TargetMode="External"/><Relationship Id="rId32" Type="http://schemas.openxmlformats.org/officeDocument/2006/relationships/hyperlink" Target="https://www.bndes.gov.br/wps/portal/site/home/imprensa/noticias/conteudo/bndes-desembolsa-88-3-bilhoes-em-2016" TargetMode="External"/><Relationship Id="rId33" Type="http://schemas.openxmlformats.org/officeDocument/2006/relationships/hyperlink" Target="https://agenciabrasil.ebc.com.br/economia/noticia/2023-01/dezembro-fecha-com-saldo-negativo-de-431011-empregos-diz-novo-caged" TargetMode="External"/><Relationship Id="rId34" Type="http://schemas.openxmlformats.org/officeDocument/2006/relationships/hyperlink" Target="https://agenciadenoticias.ibge.gov.br/agencia-sala-de-imprensa/2013-agencia-de-noticias/releases/36336-pnad-continua-em-2022-taxa-media-anual-de-desocupacao-foi-de-9-3-enquanto-de-taxa-de-subutilizacao-foi-de-20-8" TargetMode="External"/><Relationship Id="rId35" Type="http://schemas.openxmlformats.org/officeDocument/2006/relationships/hyperlink" Target="https://agenciabrasil.ebc.com.br/economia/noticia/2022-06/plano-safra-20222023-anuncia-r-3408-bilhoes-para-agropecuaria" TargetMode="External"/><Relationship Id="rId36" Type="http://schemas.openxmlformats.org/officeDocument/2006/relationships/hyperlink" Target="https://www.gov.br/planejamento/pt-br/assuntos/noticias/2023/junho/subsidios-concedidos-pela-uniao-atingem-r-581-49-bilhoes-em-2022" TargetMode="External"/><Relationship Id="rId37" Type="http://schemas.openxmlformats.org/officeDocument/2006/relationships/hyperlink" Target="https://diariodocomercio.com.br/economia/investimentos-privados-em-infraestrutura-somam-r-131-bi-no-pais/" TargetMode="External"/><Relationship Id="rId38" Type="http://schemas.openxmlformats.org/officeDocument/2006/relationships/hyperlink" Target="https://agenciabrasil.ebc.com.br/economia/noticia/2023-01/governo-central-registra-superavit-de-r-54086-bi-em-2022" TargetMode="External"/><Relationship Id="rId39" Type="http://schemas.openxmlformats.org/officeDocument/2006/relationships/hyperlink" Target="https://www2.senado.leg.br/bdsf/bitstream/handle/id/50561/noticia.htm?sequence=1&amp;isAllowed=y" TargetMode="External"/><Relationship Id="rId40" Type="http://schemas.openxmlformats.org/officeDocument/2006/relationships/hyperlink" Target="https://portaldatransparencia.gov.br/programas-e-acoes/acao/8442?ano=2025" TargetMode="External"/><Relationship Id="rId41" Type="http://schemas.openxmlformats.org/officeDocument/2006/relationships/hyperlink" Target="https://www.tesourotransparente.gov.br/publicacoes/boletim-resultado-do-tesouro-nacional-rtn/2025/12" TargetMode="External"/><Relationship Id="rId42" Type="http://schemas.openxmlformats.org/officeDocument/2006/relationships/hyperlink" Target="https://www.gov.br/mds/pt-br/noticias-e-conteudos/desenvolvimento-social/noticias-desenvolvimento-social/em-novo-recorde-mais-de-21-6-milhoes-de-familias-recebem-o-auxilio-brasil-em-dezembro" TargetMode="External"/><Relationship Id="rId43" Type="http://schemas.openxmlformats.org/officeDocument/2006/relationships/hyperlink" Target="https://www.gazetadopovo.com.br/republica/governo-novo-vale-gas-custo-2-6-bilhoes-em-2025/" TargetMode="External"/><Relationship Id="rId44" Type="http://schemas.openxmlformats.org/officeDocument/2006/relationships/hyperlink" Target="https://www12.senado.leg.br/radio/1/noticia/2025/02/13/tcu-libera-retomada-do-programa-pe-de-meia-incentivo-a-conclusao-do-ensino-medio" TargetMode="External"/><Relationship Id="rId45" Type="http://schemas.openxmlformats.org/officeDocument/2006/relationships/hyperlink" Target="https://www.gov.br/fnde/pt-br/acesso-a-informacao/acoes-e-programas/programas/pnae/consultas/pnae-dados-fisicos-e-financeiros-do-pnae" TargetMode="External"/><Relationship Id="rId46" Type="http://schemas.openxmlformats.org/officeDocument/2006/relationships/hyperlink" Target="https://www2.camara.leg.br/orcamento-da-uniao/estudos/2021/NT26_2021PSOLUniversidadesFieseProuni.pdf" TargetMode="External"/><Relationship Id="rId47" Type="http://schemas.openxmlformats.org/officeDocument/2006/relationships/hyperlink" Target="https://www.gov.br/receitafederal/pt-br/centrais-de-conteudo/publicacoes/relatorios/renuncia/gastos-tributarios-bases-efetivas" TargetMode="External"/><Relationship Id="rId48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8" min="6" style="0" width="13"/>
    <col collapsed="false" customWidth="true" hidden="false" outlineLevel="0" max="9" min="9" style="0" width="44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2"/>
      <c r="G4" s="2"/>
      <c r="H4" s="2"/>
      <c r="I4" s="2"/>
    </row>
    <row r="5" customFormat="false" ht="15" hidden="false" customHeight="false" outlineLevel="0" collapsed="false">
      <c r="A5" s="6" t="s">
        <v>7</v>
      </c>
      <c r="B5" s="7" t="n">
        <v>6269.327</v>
      </c>
      <c r="C5" s="7" t="n">
        <v>7389.131</v>
      </c>
      <c r="D5" s="7" t="n">
        <v>10079.676</v>
      </c>
      <c r="E5" s="7" t="n">
        <v>12738.566</v>
      </c>
      <c r="F5" s="2"/>
      <c r="G5" s="2"/>
      <c r="H5" s="2"/>
      <c r="I5" s="2"/>
    </row>
    <row r="6" customFormat="false" ht="15" hidden="false" customHeight="false" outlineLevel="0" collapsed="false">
      <c r="A6" s="6" t="s">
        <v>8</v>
      </c>
      <c r="B6" s="8" t="n">
        <v>4775.7</v>
      </c>
      <c r="C6" s="8" t="n">
        <v>5320.25</v>
      </c>
      <c r="D6" s="8" t="n">
        <v>6474.09</v>
      </c>
      <c r="E6" s="8" t="n">
        <v>7403.29</v>
      </c>
      <c r="F6" s="2"/>
      <c r="G6" s="2"/>
      <c r="H6" s="2"/>
      <c r="I6" s="2"/>
    </row>
    <row r="7" customFormat="false" ht="15" hidden="false" customHeight="false" outlineLevel="0" collapsed="false">
      <c r="A7" s="6" t="s">
        <v>9</v>
      </c>
      <c r="B7" s="9" t="n">
        <f aca="false">IPCA_DEZ_2025/IPCA_DEZ_2016</f>
        <v>1.55019997068493</v>
      </c>
      <c r="C7" s="9" t="n">
        <f aca="false">IPCA_DEZ_2025/IPCA_DEZ_2019</f>
        <v>1.39153047319205</v>
      </c>
      <c r="D7" s="9" t="n">
        <f aca="false">IPCA_DEZ_2025/IPCA_DEZ_2022</f>
        <v>1.14352596272217</v>
      </c>
      <c r="E7" s="9" t="n">
        <f aca="false">IPCA_DEZ_2025/IPCA_DEZ_2025</f>
        <v>1</v>
      </c>
      <c r="F7" s="2"/>
      <c r="G7" s="2"/>
      <c r="H7" s="2"/>
      <c r="I7" s="2"/>
    </row>
    <row r="8" customFormat="false" ht="15" hidden="false" customHeight="false" outlineLevel="0" collapsed="false">
      <c r="A8" s="6" t="s">
        <v>10</v>
      </c>
      <c r="B8" s="10" t="n">
        <f aca="false">AVERAGE(4.0524,3.9737,3.7039,3.5658,3.5393,3.4245,3.2756,3.2097,3.2564,3.1858,3.342,3.3523)</f>
        <v>3.49011666666667</v>
      </c>
      <c r="C8" s="10" t="n">
        <f aca="false">AVERAGE(3.7417,3.7236,3.8465,3.8962,4.0015,3.8588,3.7793,4.02,4.1215,4.087,4.1553,4.1096)</f>
        <v>3.94508333333333</v>
      </c>
      <c r="D8" s="10" t="n">
        <f aca="false">AVERAGE(5.5341,5.1966,4.9684,4.758,4.9551,5.0492,5.3681,5.1433,5.237,5.2503,5.2747,5.2424)</f>
        <v>5.16476666666667</v>
      </c>
      <c r="E8" s="10" t="n">
        <f aca="false">AVERAGE(6.0218,5.7656,5.7468,5.7837,5.6674,5.5471,5.5285,5.4469,5.3674,5.3855,5.3409,5.4531)</f>
        <v>5.58789166666667</v>
      </c>
      <c r="F8" s="2"/>
      <c r="G8" s="2"/>
      <c r="H8" s="2"/>
      <c r="I8" s="2"/>
    </row>
    <row r="9" customFormat="false" ht="15" hidden="false" customHeight="false" outlineLevel="0" collapsed="false">
      <c r="A9" s="6" t="s">
        <v>11</v>
      </c>
      <c r="B9" s="11" t="n">
        <f aca="false">PIB_2016/PTAX_2016</f>
        <v>1796.30871938378</v>
      </c>
      <c r="C9" s="11" t="n">
        <f aca="false">PIB_2019/PTAX_2019</f>
        <v>1872.99744407596</v>
      </c>
      <c r="D9" s="11" t="n">
        <f aca="false">PIB_2022/PTAX_2022</f>
        <v>1951.62272577658</v>
      </c>
      <c r="E9" s="11" t="n">
        <f aca="false">PIB_2025/PTAX_2025</f>
        <v>2279.67304305291</v>
      </c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4" t="s">
        <v>12</v>
      </c>
      <c r="B11" s="2"/>
      <c r="C11" s="2"/>
      <c r="D11" s="2"/>
      <c r="E11" s="2"/>
      <c r="F11" s="2"/>
      <c r="G11" s="2"/>
      <c r="H11" s="2"/>
      <c r="I11" s="2"/>
    </row>
    <row r="12" customFormat="false" ht="22.35" hidden="false" customHeight="false" outlineLevel="0" collapsed="false">
      <c r="A12" s="12" t="s">
        <v>13</v>
      </c>
      <c r="B12" s="12" t="s">
        <v>3</v>
      </c>
      <c r="C12" s="12" t="s">
        <v>4</v>
      </c>
      <c r="D12" s="12" t="s">
        <v>5</v>
      </c>
      <c r="E12" s="12" t="s">
        <v>6</v>
      </c>
      <c r="F12" s="12" t="s">
        <v>14</v>
      </c>
      <c r="G12" s="12" t="s">
        <v>15</v>
      </c>
      <c r="H12" s="12" t="s">
        <v>16</v>
      </c>
      <c r="I12" s="12" t="s">
        <v>17</v>
      </c>
    </row>
    <row r="13" customFormat="false" ht="22.35" hidden="false" customHeight="false" outlineLevel="0" collapsed="false">
      <c r="A13" s="13" t="s">
        <v>18</v>
      </c>
      <c r="B13" s="14" t="n">
        <f aca="false">'PIB setorial'!F4</f>
        <v>6269.327</v>
      </c>
      <c r="C13" s="14" t="n">
        <f aca="false">'PIB setorial'!G4</f>
        <v>7389.131</v>
      </c>
      <c r="D13" s="14" t="n">
        <f aca="false">'PIB setorial'!H4</f>
        <v>10079.676</v>
      </c>
      <c r="E13" s="14" t="n">
        <f aca="false">'PIB setorial'!I4</f>
        <v>12738.566</v>
      </c>
      <c r="F13" s="15" t="n">
        <f aca="false">IFERROR((C13*FATOR_2019)/(B13*FATOR_2016)-1,"n.d.")</f>
        <v>0.0579799576765698</v>
      </c>
      <c r="G13" s="15" t="n">
        <f aca="false">IFERROR((D13*FATOR_2022)/(C13*FATOR_2019)-1,"n.d.")</f>
        <v>0.121002327238475</v>
      </c>
      <c r="H13" s="15" t="n">
        <f aca="false">IFERROR((E13*FATOR_2025)/(D13*FATOR_2022)-1,"n.d.")</f>
        <v>0.105167079642568</v>
      </c>
      <c r="I13" s="13" t="s">
        <v>19</v>
      </c>
    </row>
    <row r="14" customFormat="false" ht="15" hidden="false" customHeight="false" outlineLevel="0" collapsed="false">
      <c r="A14" s="13" t="s">
        <v>20</v>
      </c>
      <c r="B14" s="16" t="n">
        <f aca="false">'PIB setorial'!F22</f>
        <v>0.0489133841638823</v>
      </c>
      <c r="C14" s="16" t="n">
        <f aca="false">'PIB setorial'!G22</f>
        <v>0.042050140943502</v>
      </c>
      <c r="D14" s="16" t="n">
        <f aca="false">'PIB setorial'!H22</f>
        <v>0.0576747704985756</v>
      </c>
      <c r="E14" s="16" t="n">
        <f aca="false">'PIB setorial'!I22</f>
        <v>0.0608621880987232</v>
      </c>
      <c r="F14" s="17" t="n">
        <f aca="false">IFERROR((C14-B14)*100,"n.d.")</f>
        <v>-0.686324322038033</v>
      </c>
      <c r="G14" s="17" t="n">
        <f aca="false">IFERROR((D14-C14)*100,"n.d.")</f>
        <v>1.56246295550735</v>
      </c>
      <c r="H14" s="17" t="n">
        <f aca="false">IFERROR((E14-D14)*100,"n.d.")</f>
        <v>0.318741760014765</v>
      </c>
      <c r="I14" s="13" t="s">
        <v>21</v>
      </c>
    </row>
    <row r="15" customFormat="false" ht="15" hidden="false" customHeight="false" outlineLevel="0" collapsed="false">
      <c r="A15" s="13" t="s">
        <v>22</v>
      </c>
      <c r="B15" s="16" t="n">
        <f aca="false">'PIB setorial'!F23</f>
        <v>0.183547612048311</v>
      </c>
      <c r="C15" s="16" t="n">
        <f aca="false">'PIB setorial'!G23</f>
        <v>0.187546275739326</v>
      </c>
      <c r="D15" s="16" t="n">
        <f aca="false">'PIB setorial'!H23</f>
        <v>0.228194537205363</v>
      </c>
      <c r="E15" s="16" t="n">
        <f aca="false">'PIB setorial'!I23</f>
        <v>0.201499446641011</v>
      </c>
      <c r="F15" s="17" t="n">
        <f aca="false">IFERROR((C15-B15)*100,"n.d.")</f>
        <v>0.399866369101501</v>
      </c>
      <c r="G15" s="17" t="n">
        <f aca="false">IFERROR((D15-C15)*100,"n.d.")</f>
        <v>4.06482614660368</v>
      </c>
      <c r="H15" s="17" t="n">
        <f aca="false">IFERROR((E15-D15)*100,"n.d.")</f>
        <v>-2.66950905643514</v>
      </c>
      <c r="I15" s="13" t="s">
        <v>23</v>
      </c>
    </row>
    <row r="16" customFormat="false" ht="15" hidden="false" customHeight="false" outlineLevel="0" collapsed="false">
      <c r="A16" s="13" t="s">
        <v>24</v>
      </c>
      <c r="B16" s="16" t="n">
        <f aca="false">'PIB setorial'!F25</f>
        <v>0.0678753875814741</v>
      </c>
      <c r="C16" s="16" t="n">
        <f aca="false">'PIB setorial'!G25</f>
        <v>0.0622931167413326</v>
      </c>
      <c r="D16" s="16" t="n">
        <f aca="false">'PIB setorial'!H25</f>
        <v>0.0604559114796944</v>
      </c>
      <c r="E16" s="16" t="n">
        <f aca="false">'PIB setorial'!I25</f>
        <v>0.0730277646636207</v>
      </c>
      <c r="F16" s="17" t="n">
        <f aca="false">IFERROR((C16-B16)*100,"n.d.")</f>
        <v>-0.558227084014142</v>
      </c>
      <c r="G16" s="17" t="n">
        <f aca="false">IFERROR((D16-C16)*100,"n.d.")</f>
        <v>-0.183720526163825</v>
      </c>
      <c r="H16" s="17" t="n">
        <f aca="false">IFERROR((E16-D16)*100,"n.d.")</f>
        <v>1.25718531839263</v>
      </c>
      <c r="I16" s="13"/>
    </row>
    <row r="17" customFormat="false" ht="15" hidden="false" customHeight="false" outlineLevel="0" collapsed="false">
      <c r="A17" s="13" t="s">
        <v>25</v>
      </c>
      <c r="B17" s="16" t="n">
        <f aca="false">'PIB setorial'!F26</f>
        <v>0.564161512072987</v>
      </c>
      <c r="C17" s="16" t="n">
        <f aca="false">'PIB setorial'!G26</f>
        <v>0.568385375763402</v>
      </c>
      <c r="D17" s="16" t="n">
        <f aca="false">'PIB setorial'!H26</f>
        <v>0.520416430051918</v>
      </c>
      <c r="E17" s="16" t="n">
        <f aca="false">'PIB setorial'!I26</f>
        <v>0.524360512792413</v>
      </c>
      <c r="F17" s="17" t="n">
        <f aca="false">IFERROR((C17-B17)*100,"n.d.")</f>
        <v>0.422386369041516</v>
      </c>
      <c r="G17" s="17" t="n">
        <f aca="false">IFERROR((D17-C17)*100,"n.d.")</f>
        <v>-4.79689457114833</v>
      </c>
      <c r="H17" s="17" t="n">
        <f aca="false">IFERROR((E17-D17)*100,"n.d.")</f>
        <v>0.394408274049474</v>
      </c>
      <c r="I17" s="13" t="s">
        <v>26</v>
      </c>
    </row>
    <row r="18" customFormat="false" ht="15" hidden="false" customHeight="false" outlineLevel="0" collapsed="false">
      <c r="A18" s="13" t="s">
        <v>27</v>
      </c>
      <c r="B18" s="14" t="n">
        <f aca="false">'Receitas públicas'!F16</f>
        <v>1089.15</v>
      </c>
      <c r="C18" s="14" t="n">
        <f aca="false">'Receitas públicas'!G16</f>
        <v>1347.277</v>
      </c>
      <c r="D18" s="14" t="n">
        <f aca="false">'Receitas públicas'!H16</f>
        <v>1856.102</v>
      </c>
      <c r="E18" s="14" t="n">
        <f aca="false">'Receitas públicas'!I16</f>
        <v>2332.558</v>
      </c>
      <c r="F18" s="15" t="n">
        <f aca="false">IFERROR((C18*FATOR_2019)/(B18*FATOR_2016)-1,"n.d.")</f>
        <v>0.110386561452376</v>
      </c>
      <c r="G18" s="15" t="n">
        <f aca="false">IFERROR((D18*FATOR_2022)/(C18*FATOR_2019)-1,"n.d.")</f>
        <v>0.132135088575307</v>
      </c>
      <c r="H18" s="15" t="n">
        <f aca="false">IFERROR((E18*FATOR_2025)/(D18*FATOR_2022)-1,"n.d.")</f>
        <v>0.0989668276783358</v>
      </c>
      <c r="I18" s="13"/>
    </row>
    <row r="19" customFormat="false" ht="15" hidden="false" customHeight="false" outlineLevel="0" collapsed="false">
      <c r="A19" s="13" t="s">
        <v>28</v>
      </c>
      <c r="B19" s="14" t="n">
        <f aca="false">'Despesas públicas'!F4</f>
        <v>1250.426</v>
      </c>
      <c r="C19" s="14" t="n">
        <f aca="false">'Despesas públicas'!G4</f>
        <v>1442.34</v>
      </c>
      <c r="D19" s="14" t="n">
        <f aca="false">'Despesas públicas'!H4</f>
        <v>1809.693</v>
      </c>
      <c r="E19" s="14" t="n">
        <f aca="false">'Despesas públicas'!I4</f>
        <v>2394.25</v>
      </c>
      <c r="F19" s="15" t="n">
        <f aca="false">IFERROR((C19*FATOR_2019)/(B19*FATOR_2016)-1,"n.d.")</f>
        <v>0.035415470316555</v>
      </c>
      <c r="G19" s="15" t="n">
        <f aca="false">IFERROR((D19*FATOR_2022)/(C19*FATOR_2019)-1,"n.d.")</f>
        <v>0.031075735356288</v>
      </c>
      <c r="H19" s="15" t="n">
        <f aca="false">IFERROR((E19*FATOR_2025)/(D19*FATOR_2022)-1,"n.d.")</f>
        <v>0.156960575598694</v>
      </c>
      <c r="I19" s="13" t="s">
        <v>29</v>
      </c>
    </row>
    <row r="20" customFormat="false" ht="22.35" hidden="false" customHeight="false" outlineLevel="0" collapsed="false">
      <c r="A20" s="13" t="s">
        <v>30</v>
      </c>
      <c r="B20" s="14" t="n">
        <f aca="false">'Despesas públicas'!F12</f>
        <v>-161.276</v>
      </c>
      <c r="C20" s="14" t="n">
        <f aca="false">'Despesas públicas'!G12</f>
        <v>-95.065</v>
      </c>
      <c r="D20" s="14" t="n">
        <f aca="false">'Despesas públicas'!H12</f>
        <v>46.408</v>
      </c>
      <c r="E20" s="14" t="n">
        <f aca="false">'Despesas públicas'!I12</f>
        <v>-61.69</v>
      </c>
      <c r="F20" s="15" t="n">
        <f aca="false">IFERROR((C20*FATOR_2019)/(B20*FATOR_2016)-1,"n.d.")</f>
        <v>-0.470877893972022</v>
      </c>
      <c r="G20" s="15" t="n">
        <f aca="false">IFERROR((D20*FATOR_2022)/(C20*FATOR_2019)-1,"n.d.")</f>
        <v>-1.40116728365813</v>
      </c>
      <c r="H20" s="15" t="n">
        <f aca="false">IFERROR((E20*FATOR_2025)/(D20*FATOR_2022)-1,"n.d.")</f>
        <v>-2.16245430040173</v>
      </c>
      <c r="I20" s="13" t="s">
        <v>31</v>
      </c>
    </row>
    <row r="21" customFormat="false" ht="22.35" hidden="false" customHeight="false" outlineLevel="0" collapsed="false">
      <c r="A21" s="13" t="s">
        <v>32</v>
      </c>
      <c r="B21" s="14" t="n">
        <f aca="false">'Dívida e juros'!F11</f>
        <v>407.024</v>
      </c>
      <c r="C21" s="14" t="n">
        <f aca="false">'Dívida e juros'!G11</f>
        <v>367.282</v>
      </c>
      <c r="D21" s="14" t="n">
        <f aca="false">'Dívida e juros'!H11</f>
        <v>586.4</v>
      </c>
      <c r="E21" s="14" t="n">
        <f aca="false">'Dívida e juros'!I11</f>
        <v>1007.6</v>
      </c>
      <c r="F21" s="15" t="n">
        <f aca="false">IFERROR((C21*FATOR_2019)/(B21*FATOR_2016)-1,"n.d.")</f>
        <v>-0.190000736911809</v>
      </c>
      <c r="G21" s="15" t="n">
        <f aca="false">IFERROR((D21*FATOR_2022)/(C21*FATOR_2019)-1,"n.d.")</f>
        <v>0.312041659613403</v>
      </c>
      <c r="H21" s="15" t="n">
        <f aca="false">IFERROR((E21*FATOR_2025)/(D21*FATOR_2022)-1,"n.d.")</f>
        <v>0.50261654990722</v>
      </c>
      <c r="I21" s="13" t="s">
        <v>33</v>
      </c>
    </row>
    <row r="22" customFormat="false" ht="15" hidden="false" customHeight="false" outlineLevel="0" collapsed="false">
      <c r="A22" s="13" t="s">
        <v>34</v>
      </c>
      <c r="B22" s="16" t="n">
        <f aca="false">'Dívida e juros'!F7</f>
        <v>0.6984</v>
      </c>
      <c r="C22" s="16" t="n">
        <f aca="false">'Dívida e juros'!G7</f>
        <v>0.7444</v>
      </c>
      <c r="D22" s="16" t="n">
        <f aca="false">'Dívida e juros'!H7</f>
        <v>0.7168</v>
      </c>
      <c r="E22" s="16" t="n">
        <f aca="false">'Dívida e juros'!I7</f>
        <v>0.7864</v>
      </c>
      <c r="F22" s="17" t="n">
        <f aca="false">IFERROR((C22-B22)*100,"n.d.")</f>
        <v>4.59999999999999</v>
      </c>
      <c r="G22" s="17" t="n">
        <f aca="false">IFERROR((D22-C22)*100,"n.d.")</f>
        <v>-2.76</v>
      </c>
      <c r="H22" s="17" t="n">
        <f aca="false">IFERROR((E22-D22)*100,"n.d.")</f>
        <v>6.96</v>
      </c>
      <c r="I22" s="13"/>
    </row>
    <row r="23" customFormat="false" ht="15" hidden="false" customHeight="false" outlineLevel="0" collapsed="false">
      <c r="A23" s="13" t="s">
        <v>35</v>
      </c>
      <c r="B23" s="16" t="n">
        <f aca="false">'Dívida e juros'!F9</f>
        <v>0.4614</v>
      </c>
      <c r="C23" s="16" t="n">
        <f aca="false">'Dívida e juros'!G9</f>
        <v>0.547</v>
      </c>
      <c r="D23" s="16" t="n">
        <f aca="false">'Dívida e juros'!H9</f>
        <v>0.5613</v>
      </c>
      <c r="E23" s="16" t="n">
        <f aca="false">'Dívida e juros'!I9</f>
        <v>0.6524</v>
      </c>
      <c r="F23" s="17" t="n">
        <f aca="false">IFERROR((C23-B23)*100,"n.d.")</f>
        <v>8.56000000000001</v>
      </c>
      <c r="G23" s="17" t="n">
        <f aca="false">IFERROR((D23-C23)*100,"n.d.")</f>
        <v>1.43</v>
      </c>
      <c r="H23" s="17" t="n">
        <f aca="false">IFERROR((E23-D23)*100,"n.d.")</f>
        <v>9.11</v>
      </c>
      <c r="I23" s="13"/>
    </row>
    <row r="24" customFormat="false" ht="15" hidden="false" customHeight="false" outlineLevel="0" collapsed="false">
      <c r="A24" s="13" t="s">
        <v>36</v>
      </c>
      <c r="B24" s="14" t="n">
        <f aca="false">'LOA e execução orçamentária'!F14</f>
        <v>48.051</v>
      </c>
      <c r="C24" s="14" t="n">
        <f aca="false">'LOA e execução orçamentária'!G14</f>
        <v>37.82</v>
      </c>
      <c r="D24" s="14" t="n">
        <f aca="false">'LOA e execução orçamentária'!H14</f>
        <v>40.639</v>
      </c>
      <c r="E24" s="14" t="n">
        <f aca="false">'LOA e execução orçamentária'!I14</f>
        <v>69.923</v>
      </c>
      <c r="F24" s="15" t="n">
        <f aca="false">IFERROR((C24*FATOR_2019)/(B24*FATOR_2016)-1,"n.d.")</f>
        <v>-0.29348060026807</v>
      </c>
      <c r="G24" s="15" t="n">
        <f aca="false">IFERROR((D24*FATOR_2022)/(C24*FATOR_2019)-1,"n.d.")</f>
        <v>-0.116971346733923</v>
      </c>
      <c r="H24" s="15" t="n">
        <f aca="false">IFERROR((E24*FATOR_2025)/(D24*FATOR_2022)-1,"n.d.")</f>
        <v>0.504634484261718</v>
      </c>
      <c r="I24" s="13" t="s">
        <v>37</v>
      </c>
    </row>
    <row r="25" customFormat="false" ht="15" hidden="false" customHeight="false" outlineLevel="0" collapsed="false">
      <c r="A25" s="13" t="s">
        <v>38</v>
      </c>
      <c r="B25" s="14" t="n">
        <f aca="false">'BNDES, Plano Safra e P&amp;D'!F4</f>
        <v>88.3</v>
      </c>
      <c r="C25" s="14" t="n">
        <f aca="false">'BNDES, Plano Safra e P&amp;D'!G4</f>
        <v>55.314</v>
      </c>
      <c r="D25" s="14" t="n">
        <f aca="false">'BNDES, Plano Safra e P&amp;D'!H4</f>
        <v>97.5</v>
      </c>
      <c r="E25" s="14" t="n">
        <f aca="false">'BNDES, Plano Safra e P&amp;D'!I4</f>
        <v>169.7</v>
      </c>
      <c r="F25" s="15" t="n">
        <f aca="false">IFERROR((C25*FATOR_2019)/(B25*FATOR_2016)-1,"n.d.")</f>
        <v>-0.43768540113329</v>
      </c>
      <c r="G25" s="15" t="n">
        <f aca="false">IFERROR((D25*FATOR_2022)/(C25*FATOR_2019)-1,"n.d.")</f>
        <v>0.44851453764532</v>
      </c>
      <c r="H25" s="15" t="n">
        <f aca="false">IFERROR((E25*FATOR_2025)/(D25*FATOR_2022)-1,"n.d.")</f>
        <v>0.522057983160709</v>
      </c>
      <c r="I25" s="13"/>
    </row>
    <row r="26" customFormat="false" ht="15" hidden="false" customHeight="false" outlineLevel="0" collapsed="false">
      <c r="A26" s="13" t="s">
        <v>39</v>
      </c>
      <c r="B26" s="14" t="n">
        <f aca="false">'BNDES, Plano Safra e P&amp;D'!F7</f>
        <v>232.88</v>
      </c>
      <c r="C26" s="14" t="n">
        <f aca="false">'BNDES, Plano Safra e P&amp;D'!G7</f>
        <v>225.59</v>
      </c>
      <c r="D26" s="14" t="n">
        <f aca="false">'BNDES, Plano Safra e P&amp;D'!H7</f>
        <v>340.88</v>
      </c>
      <c r="E26" s="14" t="n">
        <f aca="false">'BNDES, Plano Safra e P&amp;D'!I7</f>
        <v>605.2</v>
      </c>
      <c r="F26" s="15" t="n">
        <f aca="false">IFERROR((C26*FATOR_2019)/(B26*FATOR_2016)-1,"n.d.")</f>
        <v>-0.130453825309277</v>
      </c>
      <c r="G26" s="15" t="n">
        <f aca="false">IFERROR((D26*FATOR_2022)/(C26*FATOR_2019)-1,"n.d.")</f>
        <v>0.241752333682984</v>
      </c>
      <c r="H26" s="15" t="n">
        <f aca="false">IFERROR((E26*FATOR_2025)/(D26*FATOR_2022)-1,"n.d.")</f>
        <v>0.552570638903129</v>
      </c>
      <c r="I26" s="13" t="s">
        <v>40</v>
      </c>
    </row>
    <row r="27" customFormat="false" ht="15" hidden="false" customHeight="false" outlineLevel="0" collapsed="false">
      <c r="A27" s="13" t="s">
        <v>41</v>
      </c>
      <c r="B27" s="18" t="n">
        <f aca="false">Emprego!F7</f>
        <v>-1321994</v>
      </c>
      <c r="C27" s="18" t="n">
        <f aca="false">Emprego!G7</f>
        <v>644079</v>
      </c>
      <c r="D27" s="18" t="n">
        <f aca="false">Emprego!H7</f>
        <v>2037982</v>
      </c>
      <c r="E27" s="18" t="n">
        <f aca="false">Emprego!I7</f>
        <v>1279498</v>
      </c>
      <c r="F27" s="15" t="n">
        <f aca="false">IFERROR(C27/B27-1,"n.d.")</f>
        <v>-1.48720266506505</v>
      </c>
      <c r="G27" s="15" t="n">
        <f aca="false">IFERROR(D27/C27-1,"n.d.")</f>
        <v>2.16418017044493</v>
      </c>
      <c r="H27" s="15" t="n">
        <f aca="false">IFERROR(E27/D27-1,"n.d.")</f>
        <v>-0.372174042754058</v>
      </c>
      <c r="I27" s="13" t="s">
        <v>42</v>
      </c>
    </row>
    <row r="28" customFormat="false" ht="15" hidden="false" customHeight="false" outlineLevel="0" collapsed="false">
      <c r="A28" s="13" t="s">
        <v>43</v>
      </c>
      <c r="B28" s="14" t="n">
        <f aca="false">'Políticas afirmativas e apoio'!F7</f>
        <v>27.49159</v>
      </c>
      <c r="C28" s="14" t="n">
        <f aca="false">'Políticas afirmativas e apoio'!G7</f>
        <v>32.48162</v>
      </c>
      <c r="D28" s="14" t="n">
        <f aca="false">'Políticas afirmativas e apoio'!H7</f>
        <v>113.02915</v>
      </c>
      <c r="E28" s="14" t="n">
        <f aca="false">'Políticas afirmativas e apoio'!I7</f>
        <v>171.82365</v>
      </c>
      <c r="F28" s="15" t="n">
        <f aca="false">IFERROR((C28*FATOR_2019)/(B28*FATOR_2016)-1,"n.d.")</f>
        <v>0.0605785026764478</v>
      </c>
      <c r="G28" s="15" t="n">
        <f aca="false">IFERROR((D28*FATOR_2022)/(C28*FATOR_2019)-1,"n.d.")</f>
        <v>1.85960526682121</v>
      </c>
      <c r="H28" s="15" t="n">
        <f aca="false">IFERROR((E28*FATOR_2025)/(D28*FATOR_2022)-1,"n.d.")</f>
        <v>0.329371762035798</v>
      </c>
      <c r="I28" s="13" t="s">
        <v>44</v>
      </c>
    </row>
    <row r="29" customFormat="false" ht="15" hidden="false" customHeight="false" outlineLevel="0" collapsed="false">
      <c r="A29" s="13" t="s">
        <v>45</v>
      </c>
      <c r="B29" s="16" t="n">
        <f aca="false">Emprego!F8</f>
        <v>0.115</v>
      </c>
      <c r="C29" s="16" t="n">
        <f aca="false">Emprego!G8</f>
        <v>0.119</v>
      </c>
      <c r="D29" s="16" t="n">
        <f aca="false">Emprego!H8</f>
        <v>0.093</v>
      </c>
      <c r="E29" s="16" t="n">
        <f aca="false">Emprego!I8</f>
        <v>0.056</v>
      </c>
      <c r="F29" s="17" t="n">
        <f aca="false">IFERROR((C29-B29)*100,"n.d.")</f>
        <v>0.399999999999999</v>
      </c>
      <c r="G29" s="17" t="n">
        <f aca="false">IFERROR((D29-C29)*100,"n.d.")</f>
        <v>-2.6</v>
      </c>
      <c r="H29" s="17" t="n">
        <f aca="false">IFERROR((E29-D29)*100,"n.d.")</f>
        <v>-3.7</v>
      </c>
      <c r="I29" s="13"/>
    </row>
    <row r="30" customFormat="false" ht="15" hidden="false" customHeight="false" outlineLevel="0" collapsed="false">
      <c r="A30" s="13" t="s">
        <v>46</v>
      </c>
      <c r="B30" s="14" t="n">
        <f aca="false">'Comércio exterior'!F4</f>
        <v>179.526129214</v>
      </c>
      <c r="C30" s="14" t="n">
        <f aca="false">'Comércio exterior'!G4</f>
        <v>221.126807647</v>
      </c>
      <c r="D30" s="14" t="n">
        <f aca="false">'Comércio exterior'!H4</f>
        <v>334.13603822</v>
      </c>
      <c r="E30" s="14" t="n">
        <f aca="false">'Comércio exterior'!I4</f>
        <v>348.2784625</v>
      </c>
      <c r="F30" s="15" t="n">
        <f aca="false">IFERROR(C30/B30-1,"n.d.")</f>
        <v>0.231724922801688</v>
      </c>
      <c r="G30" s="15" t="n">
        <f aca="false">IFERROR(D30/C30-1,"n.d.")</f>
        <v>0.511060742817779</v>
      </c>
      <c r="H30" s="15" t="n">
        <f aca="false">IFERROR(E30/D30-1,"n.d.")</f>
        <v>0.0423253485476727</v>
      </c>
      <c r="I30" s="13"/>
    </row>
    <row r="31" customFormat="false" ht="15" hidden="false" customHeight="false" outlineLevel="0" collapsed="false">
      <c r="A31" s="13" t="s">
        <v>47</v>
      </c>
      <c r="B31" s="14" t="n">
        <f aca="false">'Comércio exterior'!F6</f>
        <v>40.204771561</v>
      </c>
      <c r="C31" s="14" t="n">
        <f aca="false">'Comércio exterior'!G6</f>
        <v>35.198840067</v>
      </c>
      <c r="D31" s="14" t="n">
        <f aca="false">'Comércio exterior'!H6</f>
        <v>61.525351274</v>
      </c>
      <c r="E31" s="14" t="n">
        <f aca="false">'Comércio exterior'!I6</f>
        <v>68.070028675</v>
      </c>
      <c r="F31" s="15" t="n">
        <f aca="false">IFERROR(C31/B31-1,"n.d.")</f>
        <v>-0.124510880167665</v>
      </c>
      <c r="G31" s="15" t="n">
        <f aca="false">IFERROR(D31/C31-1,"n.d.")</f>
        <v>0.747936896695693</v>
      </c>
      <c r="H31" s="15" t="n">
        <f aca="false">IFERROR(E31/D31-1,"n.d.")</f>
        <v>0.106373669804072</v>
      </c>
      <c r="I31" s="13"/>
    </row>
    <row r="32" customFormat="false" ht="15" hidden="false" customHeight="false" outlineLevel="0" collapsed="false">
      <c r="A32" s="19" t="s">
        <v>48</v>
      </c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4" t="s">
        <v>49</v>
      </c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0" t="s">
        <v>50</v>
      </c>
      <c r="B35" s="21" t="s">
        <v>51</v>
      </c>
      <c r="C35" s="21"/>
      <c r="D35" s="21"/>
      <c r="E35" s="21"/>
      <c r="F35" s="21"/>
      <c r="G35" s="21"/>
      <c r="H35" s="21"/>
      <c r="I35" s="21"/>
    </row>
    <row r="36" customFormat="false" ht="15" hidden="false" customHeight="false" outlineLevel="0" collapsed="false">
      <c r="A36" s="22" t="s">
        <v>52</v>
      </c>
      <c r="B36" s="21" t="s">
        <v>53</v>
      </c>
      <c r="C36" s="21"/>
      <c r="D36" s="21"/>
      <c r="E36" s="21"/>
      <c r="F36" s="21"/>
      <c r="G36" s="21"/>
      <c r="H36" s="21"/>
      <c r="I36" s="21"/>
    </row>
    <row r="37" customFormat="false" ht="15" hidden="false" customHeight="false" outlineLevel="0" collapsed="false">
      <c r="A37" s="23" t="s">
        <v>54</v>
      </c>
      <c r="B37" s="21" t="s">
        <v>55</v>
      </c>
      <c r="C37" s="21"/>
      <c r="D37" s="21"/>
      <c r="E37" s="21"/>
      <c r="F37" s="21"/>
      <c r="G37" s="21"/>
      <c r="H37" s="21"/>
      <c r="I37" s="21"/>
    </row>
    <row r="38" customFormat="false" ht="15" hidden="false" customHeight="false" outlineLevel="0" collapsed="false">
      <c r="A38" s="24" t="s">
        <v>56</v>
      </c>
      <c r="B38" s="21" t="s">
        <v>57</v>
      </c>
      <c r="C38" s="21"/>
      <c r="D38" s="21"/>
      <c r="E38" s="21"/>
      <c r="F38" s="21"/>
      <c r="G38" s="21"/>
      <c r="H38" s="21"/>
      <c r="I38" s="21"/>
    </row>
    <row r="39" customFormat="false" ht="15" hidden="false" customHeight="false" outlineLevel="0" collapsed="false">
      <c r="A39" s="25" t="s">
        <v>58</v>
      </c>
      <c r="B39" s="21" t="s">
        <v>59</v>
      </c>
      <c r="C39" s="21"/>
      <c r="D39" s="21"/>
      <c r="E39" s="21"/>
      <c r="F39" s="21"/>
      <c r="G39" s="21"/>
      <c r="H39" s="21"/>
      <c r="I39" s="21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4" t="s">
        <v>60</v>
      </c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true" outlineLevel="0" collapsed="false">
      <c r="A42" s="26" t="s">
        <v>61</v>
      </c>
      <c r="B42" s="26"/>
      <c r="C42" s="26"/>
      <c r="D42" s="26"/>
      <c r="E42" s="26"/>
      <c r="F42" s="26"/>
      <c r="G42" s="26"/>
      <c r="H42" s="26"/>
      <c r="I42" s="26"/>
    </row>
    <row r="43" customFormat="false" ht="51.75" hidden="false" customHeight="true" outlineLevel="0" collapsed="false">
      <c r="A43" s="27" t="s">
        <v>62</v>
      </c>
      <c r="B43" s="27"/>
      <c r="C43" s="27"/>
      <c r="D43" s="27"/>
      <c r="E43" s="27"/>
      <c r="F43" s="27"/>
      <c r="G43" s="27"/>
      <c r="H43" s="27"/>
      <c r="I43" s="27"/>
    </row>
    <row r="44" customFormat="false" ht="15" hidden="false" customHeight="true" outlineLevel="0" collapsed="false">
      <c r="A44" s="26" t="s">
        <v>63</v>
      </c>
      <c r="B44" s="26"/>
      <c r="C44" s="26"/>
      <c r="D44" s="26"/>
      <c r="E44" s="26"/>
      <c r="F44" s="26"/>
      <c r="G44" s="26"/>
      <c r="H44" s="26"/>
      <c r="I44" s="26"/>
    </row>
    <row r="45" customFormat="false" ht="51.75" hidden="false" customHeight="true" outlineLevel="0" collapsed="false">
      <c r="A45" s="27" t="s">
        <v>64</v>
      </c>
      <c r="B45" s="27"/>
      <c r="C45" s="27"/>
      <c r="D45" s="27"/>
      <c r="E45" s="27"/>
      <c r="F45" s="27"/>
      <c r="G45" s="27"/>
      <c r="H45" s="27"/>
      <c r="I45" s="27"/>
    </row>
    <row r="46" customFormat="false" ht="15" hidden="false" customHeight="true" outlineLevel="0" collapsed="false">
      <c r="A46" s="26" t="s">
        <v>65</v>
      </c>
      <c r="B46" s="26"/>
      <c r="C46" s="26"/>
      <c r="D46" s="26"/>
      <c r="E46" s="26"/>
      <c r="F46" s="26"/>
      <c r="G46" s="26"/>
      <c r="H46" s="26"/>
      <c r="I46" s="26"/>
    </row>
    <row r="47" customFormat="false" ht="39" hidden="false" customHeight="true" outlineLevel="0" collapsed="false">
      <c r="A47" s="27" t="s">
        <v>66</v>
      </c>
      <c r="B47" s="27"/>
      <c r="C47" s="27"/>
      <c r="D47" s="27"/>
      <c r="E47" s="27"/>
      <c r="F47" s="27"/>
      <c r="G47" s="27"/>
      <c r="H47" s="27"/>
      <c r="I47" s="27"/>
    </row>
    <row r="48" customFormat="false" ht="15" hidden="false" customHeight="true" outlineLevel="0" collapsed="false">
      <c r="A48" s="26" t="s">
        <v>67</v>
      </c>
      <c r="B48" s="26"/>
      <c r="C48" s="26"/>
      <c r="D48" s="26"/>
      <c r="E48" s="26"/>
      <c r="F48" s="26"/>
      <c r="G48" s="26"/>
      <c r="H48" s="26"/>
      <c r="I48" s="26"/>
    </row>
    <row r="49" customFormat="false" ht="51.75" hidden="false" customHeight="true" outlineLevel="0" collapsed="false">
      <c r="A49" s="27" t="s">
        <v>68</v>
      </c>
      <c r="B49" s="27"/>
      <c r="C49" s="27"/>
      <c r="D49" s="27"/>
      <c r="E49" s="27"/>
      <c r="F49" s="27"/>
      <c r="G49" s="27"/>
      <c r="H49" s="27"/>
      <c r="I49" s="27"/>
    </row>
    <row r="50" customFormat="false" ht="15" hidden="false" customHeight="true" outlineLevel="0" collapsed="false">
      <c r="A50" s="26" t="s">
        <v>69</v>
      </c>
      <c r="B50" s="26"/>
      <c r="C50" s="26"/>
      <c r="D50" s="26"/>
      <c r="E50" s="26"/>
      <c r="F50" s="26"/>
      <c r="G50" s="26"/>
      <c r="H50" s="26"/>
      <c r="I50" s="26"/>
    </row>
    <row r="51" customFormat="false" ht="51.75" hidden="false" customHeight="true" outlineLevel="0" collapsed="false">
      <c r="A51" s="27" t="s">
        <v>70</v>
      </c>
      <c r="B51" s="27"/>
      <c r="C51" s="27"/>
      <c r="D51" s="27"/>
      <c r="E51" s="27"/>
      <c r="F51" s="27"/>
      <c r="G51" s="27"/>
      <c r="H51" s="27"/>
      <c r="I51" s="27"/>
    </row>
    <row r="52" customFormat="false" ht="15" hidden="false" customHeight="true" outlineLevel="0" collapsed="false">
      <c r="A52" s="26" t="s">
        <v>71</v>
      </c>
      <c r="B52" s="26"/>
      <c r="C52" s="26"/>
      <c r="D52" s="26"/>
      <c r="E52" s="26"/>
      <c r="F52" s="26"/>
      <c r="G52" s="26"/>
      <c r="H52" s="26"/>
      <c r="I52" s="26"/>
    </row>
    <row r="53" customFormat="false" ht="90.75" hidden="false" customHeight="true" outlineLevel="0" collapsed="false">
      <c r="A53" s="27" t="s">
        <v>72</v>
      </c>
      <c r="B53" s="27"/>
      <c r="C53" s="27"/>
      <c r="D53" s="27"/>
      <c r="E53" s="27"/>
      <c r="F53" s="27"/>
      <c r="G53" s="27"/>
      <c r="H53" s="27"/>
      <c r="I53" s="27"/>
    </row>
    <row r="54" customFormat="false" ht="15" hidden="false" customHeight="true" outlineLevel="0" collapsed="false">
      <c r="A54" s="26" t="s">
        <v>73</v>
      </c>
      <c r="B54" s="26"/>
      <c r="C54" s="26"/>
      <c r="D54" s="26"/>
      <c r="E54" s="26"/>
      <c r="F54" s="26"/>
      <c r="G54" s="26"/>
      <c r="H54" s="26"/>
      <c r="I54" s="26"/>
    </row>
    <row r="55" customFormat="false" ht="51.75" hidden="false" customHeight="true" outlineLevel="0" collapsed="false">
      <c r="A55" s="27" t="s">
        <v>74</v>
      </c>
      <c r="B55" s="27"/>
      <c r="C55" s="27"/>
      <c r="D55" s="27"/>
      <c r="E55" s="27"/>
      <c r="F55" s="27"/>
      <c r="G55" s="27"/>
      <c r="H55" s="27"/>
      <c r="I55" s="27"/>
    </row>
  </sheetData>
  <mergeCells count="19">
    <mergeCell ref="B35:I35"/>
    <mergeCell ref="B36:I36"/>
    <mergeCell ref="B37:I37"/>
    <mergeCell ref="B38:I38"/>
    <mergeCell ref="B39:I39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8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20" min="17" style="0" width="9"/>
    <col collapsed="false" customWidth="true" hidden="false" outlineLevel="0" max="24" min="21" style="0" width="20"/>
    <col collapsed="false" customWidth="true" hidden="false" outlineLevel="0" max="25" min="25" style="0" width="10"/>
    <col collapsed="false" customWidth="true" hidden="false" outlineLevel="0" max="26" min="26" style="0" width="60"/>
  </cols>
  <sheetData>
    <row r="1" customFormat="false" ht="21.75" hidden="false" customHeight="true" outlineLevel="0" collapsed="false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78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85</v>
      </c>
      <c r="K3" s="28" t="s">
        <v>86</v>
      </c>
      <c r="L3" s="28" t="s">
        <v>87</v>
      </c>
      <c r="M3" s="28" t="s">
        <v>88</v>
      </c>
      <c r="N3" s="28" t="s">
        <v>89</v>
      </c>
      <c r="O3" s="28" t="s">
        <v>90</v>
      </c>
      <c r="P3" s="28" t="s">
        <v>91</v>
      </c>
      <c r="Q3" s="28" t="s">
        <v>92</v>
      </c>
      <c r="R3" s="28" t="s">
        <v>93</v>
      </c>
      <c r="S3" s="28" t="s">
        <v>94</v>
      </c>
      <c r="T3" s="28" t="s">
        <v>95</v>
      </c>
      <c r="U3" s="28" t="s">
        <v>96</v>
      </c>
      <c r="V3" s="28" t="s">
        <v>97</v>
      </c>
      <c r="W3" s="28" t="s">
        <v>98</v>
      </c>
      <c r="X3" s="28" t="s">
        <v>99</v>
      </c>
      <c r="Y3" s="28" t="s">
        <v>100</v>
      </c>
      <c r="Z3" s="28" t="s">
        <v>101</v>
      </c>
    </row>
    <row r="4" customFormat="false" ht="22.35" hidden="false" customHeight="false" outlineLevel="0" collapsed="false">
      <c r="A4" s="29" t="s">
        <v>102</v>
      </c>
      <c r="B4" s="30" t="s">
        <v>103</v>
      </c>
      <c r="C4" s="30" t="s">
        <v>104</v>
      </c>
      <c r="D4" s="30" t="s">
        <v>105</v>
      </c>
      <c r="E4" s="29" t="s">
        <v>106</v>
      </c>
      <c r="F4" s="31" t="n">
        <f aca="false">'PIB setorial'!F4</f>
        <v>6269.327</v>
      </c>
      <c r="G4" s="31" t="n">
        <f aca="false">'PIB setorial'!G4</f>
        <v>7389.131</v>
      </c>
      <c r="H4" s="31" t="n">
        <f aca="false">'PIB setorial'!H4</f>
        <v>10079.676</v>
      </c>
      <c r="I4" s="31" t="n">
        <f aca="false">'PIB setorial'!I4</f>
        <v>12738.566</v>
      </c>
      <c r="J4" s="32" t="n">
        <f aca="false">IFERROR(F4*FATOR_2016,"n.d.")</f>
        <v>9718.71053161422</v>
      </c>
      <c r="K4" s="32" t="n">
        <f aca="false">IFERROR(G4*FATOR_2019,"n.d.")</f>
        <v>10282.200956908</v>
      </c>
      <c r="L4" s="32" t="n">
        <f aca="false">IFERROR(H4*FATOR_2022,"n.d.")</f>
        <v>11526.3712018276</v>
      </c>
      <c r="M4" s="33" t="n">
        <f aca="false">IFERROR(I4/G4-1,"n.d.")</f>
        <v>0.723959962274319</v>
      </c>
      <c r="N4" s="33" t="n">
        <f aca="false">IFERROR(I4/J4-1,"n.d.")</f>
        <v>0.31072594029449</v>
      </c>
      <c r="O4" s="33" t="n">
        <f aca="false">IFERROR(I4/K4-1,"n.d.")</f>
        <v>0.238894868266669</v>
      </c>
      <c r="P4" s="33" t="n">
        <f aca="false">IFERROR(I4/L4-1,"n.d.")</f>
        <v>0.105167079642568</v>
      </c>
      <c r="Q4" s="33" t="n">
        <f aca="false">IFERROR(F4/PIB_2016,"n.d.")</f>
        <v>1</v>
      </c>
      <c r="R4" s="33" t="n">
        <f aca="false">IFERROR(G4/PIB_2019,"n.d.")</f>
        <v>1</v>
      </c>
      <c r="S4" s="33" t="n">
        <f aca="false">IFERROR(H4/PIB_2022,"n.d.")</f>
        <v>1</v>
      </c>
      <c r="T4" s="33" t="n">
        <f aca="false">IFERROR(I4/PIB_2025,"n.d.")</f>
        <v>1</v>
      </c>
      <c r="U4" s="30" t="s">
        <v>107</v>
      </c>
      <c r="V4" s="30" t="s">
        <v>107</v>
      </c>
      <c r="W4" s="30" t="s">
        <v>107</v>
      </c>
      <c r="X4" s="30" t="s">
        <v>107</v>
      </c>
      <c r="Y4" s="30" t="s">
        <v>108</v>
      </c>
      <c r="Z4" s="30" t="s">
        <v>109</v>
      </c>
    </row>
    <row r="5" customFormat="false" ht="15" hidden="false" customHeight="false" outlineLevel="0" collapsed="false">
      <c r="A5" s="29" t="s">
        <v>110</v>
      </c>
      <c r="B5" s="30" t="s">
        <v>111</v>
      </c>
      <c r="C5" s="30" t="s">
        <v>112</v>
      </c>
      <c r="D5" s="30" t="s">
        <v>105</v>
      </c>
      <c r="E5" s="29" t="s">
        <v>106</v>
      </c>
      <c r="F5" s="31" t="n">
        <f aca="false">'PIB setorial'!F7</f>
        <v>306.654</v>
      </c>
      <c r="G5" s="31" t="n">
        <f aca="false">'PIB setorial'!G7</f>
        <v>310.714</v>
      </c>
      <c r="H5" s="31" t="n">
        <f aca="false">'PIB setorial'!H7</f>
        <v>581.343</v>
      </c>
      <c r="I5" s="31" t="n">
        <f aca="false">'PIB setorial'!I7</f>
        <v>775.297</v>
      </c>
      <c r="J5" s="32" t="n">
        <f aca="false">IFERROR(F5*FATOR_2016,"n.d.")</f>
        <v>475.375021810415</v>
      </c>
      <c r="K5" s="32" t="n">
        <f aca="false">IFERROR(G5*FATOR_2019,"n.d.")</f>
        <v>432.367999447394</v>
      </c>
      <c r="L5" s="32" t="n">
        <f aca="false">IFERROR(H5*FATOR_2022,"n.d.")</f>
        <v>664.780813746797</v>
      </c>
      <c r="M5" s="33" t="n">
        <f aca="false">IFERROR(I5/G5-1,"n.d.")</f>
        <v>1.49521103007911</v>
      </c>
      <c r="N5" s="33" t="n">
        <f aca="false">IFERROR(I5/J5-1,"n.d.")</f>
        <v>0.630916569926968</v>
      </c>
      <c r="O5" s="33" t="n">
        <f aca="false">IFERROR(I5/K5-1,"n.d.")</f>
        <v>0.793141492873895</v>
      </c>
      <c r="P5" s="33" t="n">
        <f aca="false">IFERROR(I5/L5-1,"n.d.")</f>
        <v>0.166244548530693</v>
      </c>
      <c r="Q5" s="33" t="n">
        <f aca="false">IFERROR(F5/PIB_2016,"n.d.")</f>
        <v>0.0489133841638823</v>
      </c>
      <c r="R5" s="33" t="n">
        <f aca="false">IFERROR(G5/PIB_2019,"n.d.")</f>
        <v>0.042050140943502</v>
      </c>
      <c r="S5" s="33" t="n">
        <f aca="false">IFERROR(H5/PIB_2022,"n.d.")</f>
        <v>0.0576747704985756</v>
      </c>
      <c r="T5" s="33" t="n">
        <f aca="false">IFERROR(I5/PIB_2025,"n.d.")</f>
        <v>0.0608621880987232</v>
      </c>
      <c r="U5" s="30" t="s">
        <v>107</v>
      </c>
      <c r="V5" s="30" t="s">
        <v>107</v>
      </c>
      <c r="W5" s="30" t="s">
        <v>107</v>
      </c>
      <c r="X5" s="30" t="s">
        <v>107</v>
      </c>
      <c r="Y5" s="30" t="s">
        <v>108</v>
      </c>
      <c r="Z5" s="30" t="s">
        <v>113</v>
      </c>
    </row>
    <row r="6" customFormat="false" ht="22.35" hidden="false" customHeight="false" outlineLevel="0" collapsed="false">
      <c r="A6" s="29" t="s">
        <v>114</v>
      </c>
      <c r="B6" s="30" t="s">
        <v>115</v>
      </c>
      <c r="C6" s="30" t="s">
        <v>116</v>
      </c>
      <c r="D6" s="30" t="s">
        <v>105</v>
      </c>
      <c r="E6" s="29" t="s">
        <v>106</v>
      </c>
      <c r="F6" s="31" t="n">
        <f aca="false">'PIB setorial'!F8</f>
        <v>1150.72</v>
      </c>
      <c r="G6" s="31" t="n">
        <f aca="false">'PIB setorial'!G8</f>
        <v>1385.804</v>
      </c>
      <c r="H6" s="31" t="n">
        <f aca="false">'PIB setorial'!H8</f>
        <v>2300.127</v>
      </c>
      <c r="I6" s="31" t="n">
        <f aca="false">'PIB setorial'!I8</f>
        <v>2566.814</v>
      </c>
      <c r="J6" s="32" t="n">
        <f aca="false">IFERROR(F6*FATOR_2016,"n.d.")</f>
        <v>1783.84611026656</v>
      </c>
      <c r="K6" s="32" t="n">
        <f aca="false">IFERROR(G6*FATOR_2019,"n.d.")</f>
        <v>1928.38849587143</v>
      </c>
      <c r="L6" s="32" t="n">
        <f aca="false">IFERROR(H6*FATOR_2022,"n.d.")</f>
        <v>2630.25494205827</v>
      </c>
      <c r="M6" s="33" t="n">
        <f aca="false">IFERROR(I6/G6-1,"n.d.")</f>
        <v>0.85222008307091</v>
      </c>
      <c r="N6" s="33" t="n">
        <f aca="false">IFERROR(I6/J6-1,"n.d.")</f>
        <v>0.438921208072396</v>
      </c>
      <c r="O6" s="33" t="n">
        <f aca="false">IFERROR(I6/K6-1,"n.d.")</f>
        <v>0.33106684959768</v>
      </c>
      <c r="P6" s="33" t="n">
        <f aca="false">IFERROR(I6/L6-1,"n.d.")</f>
        <v>-0.0241196931308192</v>
      </c>
      <c r="Q6" s="33" t="n">
        <f aca="false">IFERROR(F6/PIB_2016,"n.d.")</f>
        <v>0.183547612048311</v>
      </c>
      <c r="R6" s="33" t="n">
        <f aca="false">IFERROR(G6/PIB_2019,"n.d.")</f>
        <v>0.187546275739326</v>
      </c>
      <c r="S6" s="33" t="n">
        <f aca="false">IFERROR(H6/PIB_2022,"n.d.")</f>
        <v>0.228194537205363</v>
      </c>
      <c r="T6" s="33" t="n">
        <f aca="false">IFERROR(I6/PIB_2025,"n.d.")</f>
        <v>0.201499446641011</v>
      </c>
      <c r="U6" s="30" t="s">
        <v>107</v>
      </c>
      <c r="V6" s="30" t="s">
        <v>107</v>
      </c>
      <c r="W6" s="30" t="s">
        <v>107</v>
      </c>
      <c r="X6" s="30" t="s">
        <v>107</v>
      </c>
      <c r="Y6" s="30" t="s">
        <v>108</v>
      </c>
      <c r="Z6" s="30" t="s">
        <v>117</v>
      </c>
    </row>
    <row r="7" customFormat="false" ht="15" hidden="false" customHeight="false" outlineLevel="0" collapsed="false">
      <c r="A7" s="29" t="s">
        <v>118</v>
      </c>
      <c r="B7" s="30" t="s">
        <v>119</v>
      </c>
      <c r="C7" s="30" t="s">
        <v>120</v>
      </c>
      <c r="D7" s="30" t="s">
        <v>105</v>
      </c>
      <c r="E7" s="29" t="s">
        <v>106</v>
      </c>
      <c r="F7" s="31" t="n">
        <f aca="false">'PIB setorial'!F13</f>
        <v>3962.446</v>
      </c>
      <c r="G7" s="31" t="n">
        <f aca="false">'PIB setorial'!G13</f>
        <v>4660.166</v>
      </c>
      <c r="H7" s="31" t="n">
        <f aca="false">'PIB setorial'!H13</f>
        <v>5855.005</v>
      </c>
      <c r="I7" s="31" t="n">
        <f aca="false">'PIB setorial'!I13</f>
        <v>7609.87</v>
      </c>
      <c r="J7" s="32" t="n">
        <f aca="false">IFERROR(F7*FATOR_2016,"n.d.")</f>
        <v>6142.5836730406</v>
      </c>
      <c r="K7" s="32" t="n">
        <f aca="false">IFERROR(G7*FATOR_2019,"n.d.")</f>
        <v>6484.7629991335</v>
      </c>
      <c r="L7" s="32" t="n">
        <f aca="false">IFERROR(H7*FATOR_2022,"n.d.")</f>
        <v>6695.35022936814</v>
      </c>
      <c r="M7" s="33" t="n">
        <f aca="false">IFERROR(I7/G7-1,"n.d.")</f>
        <v>0.632961143444246</v>
      </c>
      <c r="N7" s="33" t="n">
        <f aca="false">IFERROR(I7/J7-1,"n.d.")</f>
        <v>0.238871199003641</v>
      </c>
      <c r="O7" s="33" t="n">
        <f aca="false">IFERROR(I7/K7-1,"n.d.")</f>
        <v>0.173500095688437</v>
      </c>
      <c r="P7" s="33" t="n">
        <f aca="false">IFERROR(I7/L7-1,"n.d.")</f>
        <v>0.136590281210452</v>
      </c>
      <c r="Q7" s="33" t="n">
        <f aca="false">IFERROR(F7/PIB_2016,"n.d.")</f>
        <v>0.632036899654461</v>
      </c>
      <c r="R7" s="33" t="n">
        <f aca="false">IFERROR(G7/PIB_2019,"n.d.")</f>
        <v>0.630678492504734</v>
      </c>
      <c r="S7" s="33" t="n">
        <f aca="false">IFERROR(H7/PIB_2022,"n.d.")</f>
        <v>0.580872341531613</v>
      </c>
      <c r="T7" s="33" t="n">
        <f aca="false">IFERROR(I7/PIB_2025,"n.d.")</f>
        <v>0.597388277456034</v>
      </c>
      <c r="U7" s="30" t="s">
        <v>107</v>
      </c>
      <c r="V7" s="30" t="s">
        <v>107</v>
      </c>
      <c r="W7" s="30" t="s">
        <v>107</v>
      </c>
      <c r="X7" s="30" t="s">
        <v>107</v>
      </c>
      <c r="Y7" s="30" t="s">
        <v>108</v>
      </c>
      <c r="Z7" s="30" t="s">
        <v>113</v>
      </c>
    </row>
    <row r="8" customFormat="false" ht="22.35" hidden="false" customHeight="false" outlineLevel="0" collapsed="false">
      <c r="A8" s="29" t="s">
        <v>121</v>
      </c>
      <c r="B8" s="30" t="s">
        <v>122</v>
      </c>
      <c r="C8" s="30" t="s">
        <v>123</v>
      </c>
      <c r="D8" s="30" t="s">
        <v>105</v>
      </c>
      <c r="E8" s="29" t="s">
        <v>106</v>
      </c>
      <c r="F8" s="31" t="n">
        <f aca="false">'PIB setorial'!F17</f>
        <v>425.533</v>
      </c>
      <c r="G8" s="31" t="n">
        <f aca="false">'PIB setorial'!G17</f>
        <v>460.292</v>
      </c>
      <c r="H8" s="31" t="n">
        <f aca="false">'PIB setorial'!H17</f>
        <v>609.376</v>
      </c>
      <c r="I8" s="31" t="n">
        <f aca="false">'PIB setorial'!I17</f>
        <v>930.269</v>
      </c>
      <c r="J8" s="32" t="n">
        <f aca="false">IFERROR(F8*FATOR_2016,"n.d.")</f>
        <v>659.661244125469</v>
      </c>
      <c r="K8" s="32" t="n">
        <f aca="false">IFERROR(G8*FATOR_2019,"n.d.")</f>
        <v>640.510344566515</v>
      </c>
      <c r="L8" s="32" t="n">
        <f aca="false">IFERROR(H8*FATOR_2022,"n.d.")</f>
        <v>696.837277059788</v>
      </c>
      <c r="M8" s="33" t="n">
        <f aca="false">IFERROR(I8/G8-1,"n.d.")</f>
        <v>1.0210409913707</v>
      </c>
      <c r="N8" s="33" t="n">
        <f aca="false">IFERROR(I8/J8-1,"n.d.")</f>
        <v>0.410222304681979</v>
      </c>
      <c r="O8" s="33" t="n">
        <f aca="false">IFERROR(I8/K8-1,"n.d.")</f>
        <v>0.452387159538522</v>
      </c>
      <c r="P8" s="33" t="n">
        <f aca="false">IFERROR(I8/L8-1,"n.d.")</f>
        <v>0.334987421920289</v>
      </c>
      <c r="Q8" s="33" t="n">
        <f aca="false">IFERROR(F8/PIB_2016,"n.d.")</f>
        <v>0.0678753875814741</v>
      </c>
      <c r="R8" s="33" t="n">
        <f aca="false">IFERROR(G8/PIB_2019,"n.d.")</f>
        <v>0.0622931167413326</v>
      </c>
      <c r="S8" s="33" t="n">
        <f aca="false">IFERROR(H8/PIB_2022,"n.d.")</f>
        <v>0.0604559114796944</v>
      </c>
      <c r="T8" s="33" t="n">
        <f aca="false">IFERROR(I8/PIB_2025,"n.d.")</f>
        <v>0.0730277646636207</v>
      </c>
      <c r="U8" s="30" t="s">
        <v>107</v>
      </c>
      <c r="V8" s="30" t="s">
        <v>107</v>
      </c>
      <c r="W8" s="30" t="s">
        <v>107</v>
      </c>
      <c r="X8" s="30" t="s">
        <v>107</v>
      </c>
      <c r="Y8" s="30" t="s">
        <v>108</v>
      </c>
      <c r="Z8" s="30" t="s">
        <v>124</v>
      </c>
    </row>
    <row r="9" customFormat="false" ht="22.35" hidden="false" customHeight="false" outlineLevel="0" collapsed="false">
      <c r="A9" s="34" t="s">
        <v>125</v>
      </c>
      <c r="B9" s="35" t="s">
        <v>126</v>
      </c>
      <c r="C9" s="35" t="s">
        <v>127</v>
      </c>
      <c r="D9" s="35" t="s">
        <v>105</v>
      </c>
      <c r="E9" s="34" t="s">
        <v>106</v>
      </c>
      <c r="F9" s="36" t="n">
        <f aca="false">'PIB setorial'!F21</f>
        <v>3536.913</v>
      </c>
      <c r="G9" s="36" t="n">
        <f aca="false">'PIB setorial'!G21</f>
        <v>4199.874</v>
      </c>
      <c r="H9" s="36" t="n">
        <f aca="false">'PIB setorial'!H21</f>
        <v>5245.629</v>
      </c>
      <c r="I9" s="36" t="n">
        <f aca="false">'PIB setorial'!I21</f>
        <v>6679.601</v>
      </c>
      <c r="J9" s="37" t="n">
        <f aca="false">IFERROR(F9*FATOR_2016,"n.d.")</f>
        <v>5482.92242891513</v>
      </c>
      <c r="K9" s="37" t="n">
        <f aca="false">IFERROR(G9*FATOR_2019,"n.d.")</f>
        <v>5844.25265456698</v>
      </c>
      <c r="L9" s="37" t="n">
        <f aca="false">IFERROR(H9*FATOR_2022,"n.d.")</f>
        <v>5998.51295230836</v>
      </c>
      <c r="M9" s="38" t="n">
        <f aca="false">IFERROR(I9/G9-1,"n.d.")</f>
        <v>0.590428903343291</v>
      </c>
      <c r="N9" s="38" t="n">
        <f aca="false">IFERROR(I9/J9-1,"n.d.")</f>
        <v>0.218255608500674</v>
      </c>
      <c r="O9" s="38" t="n">
        <f aca="false">IFERROR(I9/K9-1,"n.d.")</f>
        <v>0.142935015785163</v>
      </c>
      <c r="P9" s="38" t="n">
        <f aca="false">IFERROR(I9/L9-1,"n.d.")</f>
        <v>0.113542815212151</v>
      </c>
      <c r="Q9" s="38" t="n">
        <f aca="false">IFERROR(F9/PIB_2016,"n.d.")</f>
        <v>0.564161512072987</v>
      </c>
      <c r="R9" s="38" t="n">
        <f aca="false">IFERROR(G9/PIB_2019,"n.d.")</f>
        <v>0.568385375763402</v>
      </c>
      <c r="S9" s="38" t="n">
        <f aca="false">IFERROR(H9/PIB_2022,"n.d.")</f>
        <v>0.520416430051918</v>
      </c>
      <c r="T9" s="38" t="n">
        <f aca="false">IFERROR(I9/PIB_2025,"n.d.")</f>
        <v>0.524360512792413</v>
      </c>
      <c r="U9" s="35" t="s">
        <v>128</v>
      </c>
      <c r="V9" s="35" t="s">
        <v>128</v>
      </c>
      <c r="W9" s="35" t="s">
        <v>128</v>
      </c>
      <c r="X9" s="35" t="s">
        <v>128</v>
      </c>
      <c r="Y9" s="35" t="s">
        <v>108</v>
      </c>
      <c r="Z9" s="35" t="s">
        <v>129</v>
      </c>
    </row>
    <row r="10" customFormat="false" ht="22.35" hidden="false" customHeight="false" outlineLevel="0" collapsed="false">
      <c r="A10" s="34" t="s">
        <v>130</v>
      </c>
      <c r="B10" s="35" t="s">
        <v>20</v>
      </c>
      <c r="C10" s="35" t="s">
        <v>131</v>
      </c>
      <c r="D10" s="35" t="s">
        <v>105</v>
      </c>
      <c r="E10" s="34" t="s">
        <v>132</v>
      </c>
      <c r="F10" s="39" t="n">
        <f aca="false">'PIB setorial'!F22</f>
        <v>0.0489133841638823</v>
      </c>
      <c r="G10" s="39" t="n">
        <f aca="false">'PIB setorial'!G22</f>
        <v>0.042050140943502</v>
      </c>
      <c r="H10" s="39" t="n">
        <f aca="false">'PIB setorial'!H22</f>
        <v>0.0576747704985756</v>
      </c>
      <c r="I10" s="39" t="n">
        <f aca="false">'PIB setorial'!I22</f>
        <v>0.0608621880987232</v>
      </c>
      <c r="J10" s="37" t="s">
        <v>133</v>
      </c>
      <c r="K10" s="37" t="s">
        <v>133</v>
      </c>
      <c r="L10" s="37" t="s">
        <v>133</v>
      </c>
      <c r="M10" s="40" t="n">
        <f aca="false">IFERROR((I10-G10)*100,"n.d.")</f>
        <v>1.88120471552212</v>
      </c>
      <c r="N10" s="38" t="s">
        <v>133</v>
      </c>
      <c r="O10" s="38" t="s">
        <v>133</v>
      </c>
      <c r="P10" s="38" t="s">
        <v>133</v>
      </c>
      <c r="Q10" s="38" t="s">
        <v>133</v>
      </c>
      <c r="R10" s="38" t="s">
        <v>133</v>
      </c>
      <c r="S10" s="38" t="s">
        <v>133</v>
      </c>
      <c r="T10" s="38" t="s">
        <v>133</v>
      </c>
      <c r="U10" s="35" t="s">
        <v>128</v>
      </c>
      <c r="V10" s="35" t="s">
        <v>128</v>
      </c>
      <c r="W10" s="35" t="s">
        <v>128</v>
      </c>
      <c r="X10" s="35" t="s">
        <v>128</v>
      </c>
      <c r="Y10" s="35" t="s">
        <v>108</v>
      </c>
      <c r="Z10" s="35" t="str">
        <f aca="false">"[ESTIMADO] "&amp;'PIB setorial'!AB22</f>
        <v>[ESTIMADO] Participação no VAB (critério IBGE): 2016: 5,66%; 2019: 4,89%; 2022: 6,65%; 2025: 7,08%.</v>
      </c>
    </row>
    <row r="11" customFormat="false" ht="22.35" hidden="false" customHeight="false" outlineLevel="0" collapsed="false">
      <c r="A11" s="34" t="s">
        <v>134</v>
      </c>
      <c r="B11" s="35" t="s">
        <v>22</v>
      </c>
      <c r="C11" s="35" t="s">
        <v>131</v>
      </c>
      <c r="D11" s="35" t="s">
        <v>105</v>
      </c>
      <c r="E11" s="34" t="s">
        <v>132</v>
      </c>
      <c r="F11" s="39" t="n">
        <f aca="false">'PIB setorial'!F23</f>
        <v>0.183547612048311</v>
      </c>
      <c r="G11" s="39" t="n">
        <f aca="false">'PIB setorial'!G23</f>
        <v>0.187546275739326</v>
      </c>
      <c r="H11" s="39" t="n">
        <f aca="false">'PIB setorial'!H23</f>
        <v>0.228194537205363</v>
      </c>
      <c r="I11" s="39" t="n">
        <f aca="false">'PIB setorial'!I23</f>
        <v>0.201499446641011</v>
      </c>
      <c r="J11" s="37" t="s">
        <v>133</v>
      </c>
      <c r="K11" s="37" t="s">
        <v>133</v>
      </c>
      <c r="L11" s="37" t="s">
        <v>133</v>
      </c>
      <c r="M11" s="40" t="n">
        <f aca="false">IFERROR((I11-G11)*100,"n.d.")</f>
        <v>1.39531709016854</v>
      </c>
      <c r="N11" s="38" t="s">
        <v>133</v>
      </c>
      <c r="O11" s="38" t="s">
        <v>133</v>
      </c>
      <c r="P11" s="38" t="s">
        <v>133</v>
      </c>
      <c r="Q11" s="38" t="s">
        <v>133</v>
      </c>
      <c r="R11" s="38" t="s">
        <v>133</v>
      </c>
      <c r="S11" s="38" t="s">
        <v>133</v>
      </c>
      <c r="T11" s="38" t="s">
        <v>133</v>
      </c>
      <c r="U11" s="35" t="s">
        <v>128</v>
      </c>
      <c r="V11" s="35" t="s">
        <v>128</v>
      </c>
      <c r="W11" s="35" t="s">
        <v>128</v>
      </c>
      <c r="X11" s="35" t="s">
        <v>128</v>
      </c>
      <c r="Y11" s="35" t="s">
        <v>108</v>
      </c>
      <c r="Z11" s="35" t="str">
        <f aca="false">"[ESTIMADO] "&amp;'PIB setorial'!AB23</f>
        <v>[ESTIMADO] Participação no VAB (critério IBGE): 2016: 21,23%; 2019: 21,80%; 2022: 26,33%; 2025: 23,44%.</v>
      </c>
    </row>
    <row r="12" customFormat="false" ht="22.35" hidden="false" customHeight="false" outlineLevel="0" collapsed="false">
      <c r="A12" s="34" t="s">
        <v>135</v>
      </c>
      <c r="B12" s="35" t="s">
        <v>24</v>
      </c>
      <c r="C12" s="35" t="s">
        <v>131</v>
      </c>
      <c r="D12" s="35" t="s">
        <v>105</v>
      </c>
      <c r="E12" s="34" t="s">
        <v>132</v>
      </c>
      <c r="F12" s="39" t="n">
        <f aca="false">'PIB setorial'!F25</f>
        <v>0.0678753875814741</v>
      </c>
      <c r="G12" s="39" t="n">
        <f aca="false">'PIB setorial'!G25</f>
        <v>0.0622931167413326</v>
      </c>
      <c r="H12" s="39" t="n">
        <f aca="false">'PIB setorial'!H25</f>
        <v>0.0604559114796944</v>
      </c>
      <c r="I12" s="39" t="n">
        <f aca="false">'PIB setorial'!I25</f>
        <v>0.0730277646636207</v>
      </c>
      <c r="J12" s="37" t="s">
        <v>133</v>
      </c>
      <c r="K12" s="37" t="s">
        <v>133</v>
      </c>
      <c r="L12" s="37" t="s">
        <v>133</v>
      </c>
      <c r="M12" s="40" t="n">
        <f aca="false">IFERROR((I12-G12)*100,"n.d.")</f>
        <v>1.07346479222881</v>
      </c>
      <c r="N12" s="38" t="s">
        <v>133</v>
      </c>
      <c r="O12" s="38" t="s">
        <v>133</v>
      </c>
      <c r="P12" s="38" t="s">
        <v>133</v>
      </c>
      <c r="Q12" s="38" t="s">
        <v>133</v>
      </c>
      <c r="R12" s="38" t="s">
        <v>133</v>
      </c>
      <c r="S12" s="38" t="s">
        <v>133</v>
      </c>
      <c r="T12" s="38" t="s">
        <v>133</v>
      </c>
      <c r="U12" s="35" t="s">
        <v>128</v>
      </c>
      <c r="V12" s="35" t="s">
        <v>128</v>
      </c>
      <c r="W12" s="35" t="s">
        <v>128</v>
      </c>
      <c r="X12" s="35" t="s">
        <v>128</v>
      </c>
      <c r="Y12" s="35" t="s">
        <v>108</v>
      </c>
      <c r="Z12" s="35" t="str">
        <f aca="false">"[ESTIMADO] "&amp;'PIB setorial'!AB25</f>
        <v>[ESTIMADO] Participação no VAB (critério IBGE): 2016: 7,85%; 2019: 7,24%; 2022: 6,98%; 2025: 8,49%.</v>
      </c>
    </row>
    <row r="13" customFormat="false" ht="22.35" hidden="false" customHeight="false" outlineLevel="0" collapsed="false">
      <c r="A13" s="34" t="s">
        <v>136</v>
      </c>
      <c r="B13" s="35" t="s">
        <v>25</v>
      </c>
      <c r="C13" s="35" t="s">
        <v>131</v>
      </c>
      <c r="D13" s="35" t="s">
        <v>105</v>
      </c>
      <c r="E13" s="34" t="s">
        <v>132</v>
      </c>
      <c r="F13" s="39" t="n">
        <f aca="false">'PIB setorial'!F26</f>
        <v>0.564161512072987</v>
      </c>
      <c r="G13" s="39" t="n">
        <f aca="false">'PIB setorial'!G26</f>
        <v>0.568385375763402</v>
      </c>
      <c r="H13" s="39" t="n">
        <f aca="false">'PIB setorial'!H26</f>
        <v>0.520416430051918</v>
      </c>
      <c r="I13" s="39" t="n">
        <f aca="false">'PIB setorial'!I26</f>
        <v>0.524360512792413</v>
      </c>
      <c r="J13" s="37" t="s">
        <v>133</v>
      </c>
      <c r="K13" s="37" t="s">
        <v>133</v>
      </c>
      <c r="L13" s="37" t="s">
        <v>133</v>
      </c>
      <c r="M13" s="40" t="n">
        <f aca="false">IFERROR((I13-G13)*100,"n.d.")</f>
        <v>-4.40248629709885</v>
      </c>
      <c r="N13" s="38" t="s">
        <v>133</v>
      </c>
      <c r="O13" s="38" t="s">
        <v>133</v>
      </c>
      <c r="P13" s="38" t="s">
        <v>133</v>
      </c>
      <c r="Q13" s="38" t="s">
        <v>133</v>
      </c>
      <c r="R13" s="38" t="s">
        <v>133</v>
      </c>
      <c r="S13" s="38" t="s">
        <v>133</v>
      </c>
      <c r="T13" s="38" t="s">
        <v>133</v>
      </c>
      <c r="U13" s="35" t="s">
        <v>128</v>
      </c>
      <c r="V13" s="35" t="s">
        <v>128</v>
      </c>
      <c r="W13" s="35" t="s">
        <v>128</v>
      </c>
      <c r="X13" s="35" t="s">
        <v>128</v>
      </c>
      <c r="Y13" s="35" t="s">
        <v>108</v>
      </c>
      <c r="Z13" s="35" t="str">
        <f aca="false">"[ESTIMADO] "&amp;'PIB setorial'!AB26</f>
        <v>[ESTIMADO] Participação no VAB (critério IBGE): 2016: 65,26%; 2019: 66,07%; 2022: 60,04%; 2025: 60,99%.</v>
      </c>
    </row>
    <row r="14" customFormat="false" ht="43.25" hidden="false" customHeight="false" outlineLevel="0" collapsed="false">
      <c r="A14" s="29" t="s">
        <v>137</v>
      </c>
      <c r="B14" s="30" t="s">
        <v>138</v>
      </c>
      <c r="C14" s="30" t="s">
        <v>139</v>
      </c>
      <c r="D14" s="30" t="s">
        <v>140</v>
      </c>
      <c r="E14" s="29" t="s">
        <v>106</v>
      </c>
      <c r="F14" s="31" t="n">
        <f aca="false">'Receitas públicas'!F4</f>
        <v>1289</v>
      </c>
      <c r="G14" s="31" t="n">
        <f aca="false">'Receitas públicas'!G4</f>
        <v>1537</v>
      </c>
      <c r="H14" s="31" t="n">
        <f aca="false">'Receitas públicas'!H4</f>
        <v>2218</v>
      </c>
      <c r="I14" s="31" t="n">
        <f aca="false">'Receitas públicas'!I4</f>
        <v>2886</v>
      </c>
      <c r="J14" s="32" t="n">
        <f aca="false">IFERROR(F14*FATOR_2016,"n.d.")</f>
        <v>1998.20776221287</v>
      </c>
      <c r="K14" s="32" t="n">
        <f aca="false">IFERROR(G14*FATOR_2019,"n.d.")</f>
        <v>2138.78233729618</v>
      </c>
      <c r="L14" s="32" t="n">
        <f aca="false">IFERROR(H14*FATOR_2022,"n.d.")</f>
        <v>2536.34058531778</v>
      </c>
      <c r="M14" s="33" t="n">
        <f aca="false">IFERROR(I14/G14-1,"n.d.")</f>
        <v>0.877683799609629</v>
      </c>
      <c r="N14" s="33" t="n">
        <f aca="false">IFERROR(I14/J14-1,"n.d.")</f>
        <v>0.444294259373693</v>
      </c>
      <c r="O14" s="33" t="n">
        <f aca="false">IFERROR(I14/K14-1,"n.d.")</f>
        <v>0.34936592175548</v>
      </c>
      <c r="P14" s="33" t="n">
        <f aca="false">IFERROR(I14/L14-1,"n.d.")</f>
        <v>0.137859803492601</v>
      </c>
      <c r="Q14" s="33" t="n">
        <f aca="false">IFERROR(F14/PIB_2016,"n.d.")</f>
        <v>0.205604206001697</v>
      </c>
      <c r="R14" s="33" t="n">
        <f aca="false">IFERROR(G14/PIB_2019,"n.d.")</f>
        <v>0.208008221805785</v>
      </c>
      <c r="S14" s="33" t="n">
        <f aca="false">IFERROR(H14/PIB_2022,"n.d.")</f>
        <v>0.220046755471108</v>
      </c>
      <c r="T14" s="33" t="n">
        <f aca="false">IFERROR(I14/PIB_2025,"n.d.")</f>
        <v>0.226556113144918</v>
      </c>
      <c r="U14" s="30" t="s">
        <v>141</v>
      </c>
      <c r="V14" s="30" t="s">
        <v>142</v>
      </c>
      <c r="W14" s="30" t="s">
        <v>141</v>
      </c>
      <c r="X14" s="30" t="s">
        <v>142</v>
      </c>
      <c r="Y14" s="30" t="s">
        <v>108</v>
      </c>
      <c r="Z14" s="30" t="s">
        <v>143</v>
      </c>
    </row>
    <row r="15" customFormat="false" ht="32.8" hidden="false" customHeight="false" outlineLevel="0" collapsed="false">
      <c r="A15" s="29" t="s">
        <v>144</v>
      </c>
      <c r="B15" s="30" t="s">
        <v>145</v>
      </c>
      <c r="C15" s="30" t="s">
        <v>146</v>
      </c>
      <c r="D15" s="30" t="s">
        <v>140</v>
      </c>
      <c r="E15" s="29" t="s">
        <v>106</v>
      </c>
      <c r="F15" s="31" t="n">
        <f aca="false">'Despesas públicas'!F16</f>
        <v>1875.18</v>
      </c>
      <c r="G15" s="31" t="n">
        <f aca="false">'Despesas públicas'!G16</f>
        <v>2198.25</v>
      </c>
      <c r="H15" s="31" t="n">
        <f aca="false">'Despesas públicas'!H16</f>
        <v>2603.83</v>
      </c>
      <c r="I15" s="31" t="n">
        <f aca="false">'Despesas públicas'!I16</f>
        <v>3606.51</v>
      </c>
      <c r="J15" s="32" t="n">
        <f aca="false">IFERROR(F15*FATOR_2016,"n.d.")</f>
        <v>2906.90398102896</v>
      </c>
      <c r="K15" s="32" t="n">
        <f aca="false">IFERROR(G15*FATOR_2019,"n.d.")</f>
        <v>3058.93186269442</v>
      </c>
      <c r="L15" s="32" t="n">
        <f aca="false">IFERROR(H15*FATOR_2022,"n.d.")</f>
        <v>2977.54720751488</v>
      </c>
      <c r="M15" s="33" t="n">
        <f aca="false">IFERROR(I15/G15-1,"n.d.")</f>
        <v>0.640627772091436</v>
      </c>
      <c r="N15" s="33" t="n">
        <f aca="false">IFERROR(I15/J15-1,"n.d.")</f>
        <v>0.240670494635121</v>
      </c>
      <c r="O15" s="33" t="n">
        <f aca="false">IFERROR(I15/K15-1,"n.d.")</f>
        <v>0.179009589583748</v>
      </c>
      <c r="P15" s="33" t="n">
        <f aca="false">IFERROR(I15/L15-1,"n.d.")</f>
        <v>0.21123520423042</v>
      </c>
      <c r="Q15" s="33" t="n">
        <f aca="false">IFERROR(F15/PIB_2016,"n.d.")</f>
        <v>0.299103875104936</v>
      </c>
      <c r="R15" s="33" t="n">
        <f aca="false">IFERROR(G15/PIB_2019,"n.d.")</f>
        <v>0.297497770712145</v>
      </c>
      <c r="S15" s="33" t="n">
        <f aca="false">IFERROR(H15/PIB_2022,"n.d.")</f>
        <v>0.258324771550197</v>
      </c>
      <c r="T15" s="33" t="n">
        <f aca="false">IFERROR(I15/PIB_2025,"n.d.")</f>
        <v>0.283117424677158</v>
      </c>
      <c r="U15" s="30" t="s">
        <v>147</v>
      </c>
      <c r="V15" s="30" t="s">
        <v>147</v>
      </c>
      <c r="W15" s="30" t="s">
        <v>147</v>
      </c>
      <c r="X15" s="30" t="s">
        <v>148</v>
      </c>
      <c r="Y15" s="30" t="s">
        <v>108</v>
      </c>
      <c r="Z15" s="30" t="s">
        <v>149</v>
      </c>
    </row>
    <row r="16" customFormat="false" ht="22.35" hidden="false" customHeight="false" outlineLevel="0" collapsed="false">
      <c r="A16" s="29" t="s">
        <v>150</v>
      </c>
      <c r="B16" s="30" t="s">
        <v>151</v>
      </c>
      <c r="C16" s="30" t="s">
        <v>152</v>
      </c>
      <c r="D16" s="30" t="s">
        <v>153</v>
      </c>
      <c r="E16" s="29" t="s">
        <v>106</v>
      </c>
      <c r="F16" s="31" t="n">
        <f aca="false">'Receitas públicas'!F14</f>
        <v>1315.985</v>
      </c>
      <c r="G16" s="31" t="n">
        <f aca="false">'Receitas públicas'!G14</f>
        <v>1635.608</v>
      </c>
      <c r="H16" s="31" t="n">
        <f aca="false">'Receitas públicas'!H14</f>
        <v>2313.305</v>
      </c>
      <c r="I16" s="31" t="n">
        <f aca="false">'Receitas públicas'!I14</f>
        <v>2902.275</v>
      </c>
      <c r="J16" s="32" t="n">
        <f aca="false">IFERROR(F16*FATOR_2016,"n.d.")</f>
        <v>2040.0399084218</v>
      </c>
      <c r="K16" s="32" t="n">
        <f aca="false">IFERROR(G16*FATOR_2019,"n.d.")</f>
        <v>2275.9983741967</v>
      </c>
      <c r="L16" s="32" t="n">
        <f aca="false">IFERROR(H16*FATOR_2022,"n.d.")</f>
        <v>2645.32432719502</v>
      </c>
      <c r="M16" s="33" t="n">
        <f aca="false">IFERROR(I16/G16-1,"n.d.")</f>
        <v>0.774431893216468</v>
      </c>
      <c r="N16" s="33" t="n">
        <f aca="false">IFERROR(I16/J16-1,"n.d.")</f>
        <v>0.422655992178718</v>
      </c>
      <c r="O16" s="33" t="n">
        <f aca="false">IFERROR(I16/K16-1,"n.d.")</f>
        <v>0.275165673624147</v>
      </c>
      <c r="P16" s="33" t="n">
        <f aca="false">IFERROR(I16/L16-1,"n.d.")</f>
        <v>0.0971339015648944</v>
      </c>
      <c r="Q16" s="33" t="n">
        <f aca="false">IFERROR(F16/PIB_2016,"n.d.")</f>
        <v>0.20990849576039</v>
      </c>
      <c r="R16" s="33" t="n">
        <f aca="false">IFERROR(G16/PIB_2019,"n.d.")</f>
        <v>0.221353228140088</v>
      </c>
      <c r="S16" s="33" t="n">
        <f aca="false">IFERROR(H16/PIB_2022,"n.d.")</f>
        <v>0.229501920498238</v>
      </c>
      <c r="T16" s="33" t="n">
        <f aca="false">IFERROR(I16/PIB_2025,"n.d.")</f>
        <v>0.227833729479441</v>
      </c>
      <c r="U16" s="30" t="s">
        <v>154</v>
      </c>
      <c r="V16" s="30" t="s">
        <v>155</v>
      </c>
      <c r="W16" s="30" t="s">
        <v>154</v>
      </c>
      <c r="X16" s="30" t="s">
        <v>155</v>
      </c>
      <c r="Y16" s="30" t="s">
        <v>108</v>
      </c>
      <c r="Z16" s="30" t="s">
        <v>113</v>
      </c>
    </row>
    <row r="17" customFormat="false" ht="22.35" hidden="false" customHeight="false" outlineLevel="0" collapsed="false">
      <c r="A17" s="29" t="s">
        <v>156</v>
      </c>
      <c r="B17" s="30" t="s">
        <v>157</v>
      </c>
      <c r="C17" s="30" t="s">
        <v>158</v>
      </c>
      <c r="D17" s="30" t="s">
        <v>153</v>
      </c>
      <c r="E17" s="29" t="s">
        <v>106</v>
      </c>
      <c r="F17" s="31" t="n">
        <f aca="false">'Receitas públicas'!F16</f>
        <v>1089.15</v>
      </c>
      <c r="G17" s="31" t="n">
        <f aca="false">'Receitas públicas'!G16</f>
        <v>1347.277</v>
      </c>
      <c r="H17" s="31" t="n">
        <f aca="false">'Receitas públicas'!H16</f>
        <v>1856.102</v>
      </c>
      <c r="I17" s="31" t="n">
        <f aca="false">'Receitas públicas'!I16</f>
        <v>2332.558</v>
      </c>
      <c r="J17" s="32" t="n">
        <f aca="false">IFERROR(F17*FATOR_2016,"n.d.")</f>
        <v>1688.40029807149</v>
      </c>
      <c r="K17" s="32" t="n">
        <f aca="false">IFERROR(G17*FATOR_2019,"n.d.")</f>
        <v>1874.77700133076</v>
      </c>
      <c r="L17" s="32" t="n">
        <f aca="false">IFERROR(H17*FATOR_2022,"n.d.")</f>
        <v>2122.50082646055</v>
      </c>
      <c r="M17" s="33" t="n">
        <f aca="false">IFERROR(I17/G17-1,"n.d.")</f>
        <v>0.731312862907925</v>
      </c>
      <c r="N17" s="33" t="n">
        <f aca="false">IFERROR(I17/J17-1,"n.d.")</f>
        <v>0.381519538147605</v>
      </c>
      <c r="O17" s="33" t="n">
        <f aca="false">IFERROR(I17/K17-1,"n.d.")</f>
        <v>0.244178906794937</v>
      </c>
      <c r="P17" s="33" t="n">
        <f aca="false">IFERROR(I17/L17-1,"n.d.")</f>
        <v>0.0989668276783358</v>
      </c>
      <c r="Q17" s="33" t="n">
        <f aca="false">IFERROR(F17/PIB_2016,"n.d.")</f>
        <v>0.17372678119996</v>
      </c>
      <c r="R17" s="33" t="n">
        <f aca="false">IFERROR(G17/PIB_2019,"n.d.")</f>
        <v>0.182332266135219</v>
      </c>
      <c r="S17" s="33" t="n">
        <f aca="false">IFERROR(H17/PIB_2022,"n.d.")</f>
        <v>0.184143022057455</v>
      </c>
      <c r="T17" s="33" t="n">
        <f aca="false">IFERROR(I17/PIB_2025,"n.d.")</f>
        <v>0.183109935608137</v>
      </c>
      <c r="U17" s="30" t="s">
        <v>154</v>
      </c>
      <c r="V17" s="30" t="s">
        <v>155</v>
      </c>
      <c r="W17" s="30" t="s">
        <v>154</v>
      </c>
      <c r="X17" s="30" t="s">
        <v>155</v>
      </c>
      <c r="Y17" s="30" t="s">
        <v>108</v>
      </c>
      <c r="Z17" s="30" t="s">
        <v>113</v>
      </c>
    </row>
    <row r="18" customFormat="false" ht="15" hidden="false" customHeight="false" outlineLevel="0" collapsed="false">
      <c r="A18" s="29" t="s">
        <v>159</v>
      </c>
      <c r="B18" s="30" t="s">
        <v>160</v>
      </c>
      <c r="C18" s="30" t="s">
        <v>161</v>
      </c>
      <c r="D18" s="30" t="s">
        <v>153</v>
      </c>
      <c r="E18" s="29" t="s">
        <v>106</v>
      </c>
      <c r="F18" s="31" t="n">
        <f aca="false">'Despesas públicas'!F4</f>
        <v>1250.426</v>
      </c>
      <c r="G18" s="31" t="n">
        <f aca="false">'Despesas públicas'!G4</f>
        <v>1442.34</v>
      </c>
      <c r="H18" s="31" t="n">
        <f aca="false">'Despesas públicas'!H4</f>
        <v>1809.693</v>
      </c>
      <c r="I18" s="31" t="n">
        <f aca="false">'Despesas públicas'!I4</f>
        <v>2394.25</v>
      </c>
      <c r="J18" s="32" t="n">
        <f aca="false">IFERROR(F18*FATOR_2016,"n.d.")</f>
        <v>1938.41034854367</v>
      </c>
      <c r="K18" s="32" t="n">
        <f aca="false">IFERROR(G18*FATOR_2019,"n.d.")</f>
        <v>2007.06006270382</v>
      </c>
      <c r="L18" s="32" t="n">
        <f aca="false">IFERROR(H18*FATOR_2022,"n.d.")</f>
        <v>2069.43093005658</v>
      </c>
      <c r="M18" s="33" t="n">
        <f aca="false">IFERROR(I18/G18-1,"n.d.")</f>
        <v>0.659976149867577</v>
      </c>
      <c r="N18" s="33" t="n">
        <f aca="false">IFERROR(I18/J18-1,"n.d.")</f>
        <v>0.235161585780227</v>
      </c>
      <c r="O18" s="33" t="n">
        <f aca="false">IFERROR(I18/K18-1,"n.d.")</f>
        <v>0.192913976263658</v>
      </c>
      <c r="P18" s="33" t="n">
        <f aca="false">IFERROR(I18/L18-1,"n.d.")</f>
        <v>0.156960575598694</v>
      </c>
      <c r="Q18" s="33" t="n">
        <f aca="false">IFERROR(F18/PIB_2016,"n.d.")</f>
        <v>0.199451392470037</v>
      </c>
      <c r="R18" s="33" t="n">
        <f aca="false">IFERROR(G18/PIB_2019,"n.d.")</f>
        <v>0.195197513753647</v>
      </c>
      <c r="S18" s="33" t="n">
        <f aca="false">IFERROR(H18/PIB_2022,"n.d.")</f>
        <v>0.179538806604498</v>
      </c>
      <c r="T18" s="33" t="n">
        <f aca="false">IFERROR(I18/PIB_2025,"n.d.")</f>
        <v>0.187952866908253</v>
      </c>
      <c r="U18" s="30" t="s">
        <v>154</v>
      </c>
      <c r="V18" s="30" t="s">
        <v>154</v>
      </c>
      <c r="W18" s="30" t="s">
        <v>154</v>
      </c>
      <c r="X18" s="30" t="s">
        <v>155</v>
      </c>
      <c r="Y18" s="30" t="s">
        <v>108</v>
      </c>
      <c r="Z18" s="30" t="s">
        <v>113</v>
      </c>
    </row>
    <row r="19" customFormat="false" ht="32.8" hidden="false" customHeight="false" outlineLevel="0" collapsed="false">
      <c r="A19" s="41" t="s">
        <v>162</v>
      </c>
      <c r="B19" s="42" t="s">
        <v>163</v>
      </c>
      <c r="C19" s="42" t="s">
        <v>164</v>
      </c>
      <c r="D19" s="42" t="s">
        <v>153</v>
      </c>
      <c r="E19" s="41" t="s">
        <v>106</v>
      </c>
      <c r="F19" s="43" t="n">
        <f aca="false">'Despesas públicas'!F14</f>
        <v>1568.788</v>
      </c>
      <c r="G19" s="43" t="n">
        <f aca="false">'Despesas públicas'!G14</f>
        <v>1752.46</v>
      </c>
      <c r="H19" s="43" t="n">
        <f aca="false">'Despesas públicas'!H14</f>
        <v>2312.927</v>
      </c>
      <c r="I19" s="43" t="n">
        <f aca="false">'Despesas públicas'!I14</f>
        <v>3286.13</v>
      </c>
      <c r="J19" s="44" t="n">
        <f aca="false">IFERROR(F19*FATOR_2016,"n.d.")</f>
        <v>2431.93511161086</v>
      </c>
      <c r="K19" s="44" t="n">
        <f aca="false">IFERROR(G19*FATOR_2019,"n.d.")</f>
        <v>2438.60149305014</v>
      </c>
      <c r="L19" s="44" t="n">
        <f aca="false">IFERROR(H19*FATOR_2022,"n.d.")</f>
        <v>2644.89207438111</v>
      </c>
      <c r="M19" s="45" t="n">
        <f aca="false">IFERROR(I19/G19-1,"n.d.")</f>
        <v>0.875152642571015</v>
      </c>
      <c r="N19" s="45" t="n">
        <f aca="false">IFERROR(I19/J19-1,"n.d.")</f>
        <v>0.351240822302753</v>
      </c>
      <c r="O19" s="45" t="n">
        <f aca="false">IFERROR(I19/K19-1,"n.d.")</f>
        <v>0.347546948267384</v>
      </c>
      <c r="P19" s="45" t="n">
        <f aca="false">IFERROR(I19/L19-1,"n.d.")</f>
        <v>0.242443890936055</v>
      </c>
      <c r="Q19" s="45" t="n">
        <f aca="false">IFERROR(F19/PIB_2016,"n.d.")</f>
        <v>0.250232281710621</v>
      </c>
      <c r="R19" s="45" t="n">
        <f aca="false">IFERROR(G19/PIB_2019,"n.d.")</f>
        <v>0.237167266353784</v>
      </c>
      <c r="S19" s="45" t="n">
        <f aca="false">IFERROR(H19/PIB_2022,"n.d.")</f>
        <v>0.229464419292842</v>
      </c>
      <c r="T19" s="45" t="n">
        <f aca="false">IFERROR(I19/PIB_2025,"n.d.")</f>
        <v>0.257967027057834</v>
      </c>
      <c r="U19" s="42" t="s">
        <v>165</v>
      </c>
      <c r="V19" s="42" t="s">
        <v>165</v>
      </c>
      <c r="W19" s="42" t="s">
        <v>165</v>
      </c>
      <c r="X19" s="42" t="s">
        <v>165</v>
      </c>
      <c r="Y19" s="42" t="s">
        <v>108</v>
      </c>
      <c r="Z19" s="42" t="s">
        <v>166</v>
      </c>
    </row>
    <row r="20" customFormat="false" ht="22.35" hidden="false" customHeight="false" outlineLevel="0" collapsed="false">
      <c r="A20" s="29" t="s">
        <v>167</v>
      </c>
      <c r="B20" s="30" t="s">
        <v>168</v>
      </c>
      <c r="C20" s="30" t="s">
        <v>169</v>
      </c>
      <c r="D20" s="30" t="s">
        <v>140</v>
      </c>
      <c r="E20" s="29" t="s">
        <v>106</v>
      </c>
      <c r="F20" s="31" t="n">
        <f aca="false">'Dívida e juros'!F4</f>
        <v>3113</v>
      </c>
      <c r="G20" s="31" t="n">
        <f aca="false">'Dívida e juros'!G4</f>
        <v>4248</v>
      </c>
      <c r="H20" s="31" t="n">
        <f aca="false">'Dívida e juros'!H4</f>
        <v>5951</v>
      </c>
      <c r="I20" s="31" t="n">
        <f aca="false">'Dívida e juros'!I4</f>
        <v>8635</v>
      </c>
      <c r="J20" s="32" t="n">
        <f aca="false">IFERROR(F20*FATOR_2016,"n.d.")</f>
        <v>4825.77250874217</v>
      </c>
      <c r="K20" s="32" t="n">
        <f aca="false">IFERROR(G20*FATOR_2019,"n.d.")</f>
        <v>5911.22145011983</v>
      </c>
      <c r="L20" s="32" t="n">
        <f aca="false">IFERROR(H20*FATOR_2022,"n.d.")</f>
        <v>6805.12300415966</v>
      </c>
      <c r="M20" s="33" t="n">
        <f aca="false">IFERROR(I20/G20-1,"n.d.")</f>
        <v>1.03272128060264</v>
      </c>
      <c r="N20" s="33" t="n">
        <f aca="false">IFERROR(I20/J20-1,"n.d.")</f>
        <v>0.789350820901148</v>
      </c>
      <c r="O20" s="33" t="n">
        <f aca="false">IFERROR(I20/K20-1,"n.d.")</f>
        <v>0.460781003192659</v>
      </c>
      <c r="P20" s="33" t="n">
        <f aca="false">IFERROR(I20/L20-1,"n.d.")</f>
        <v>0.268896975810992</v>
      </c>
      <c r="Q20" s="33" t="n">
        <f aca="false">IFERROR(F20/PIB_2016,"n.d.")</f>
        <v>0.496544525433113</v>
      </c>
      <c r="R20" s="33" t="n">
        <f aca="false">IFERROR(G20/PIB_2019,"n.d.")</f>
        <v>0.574898455582937</v>
      </c>
      <c r="S20" s="33" t="n">
        <f aca="false">IFERROR(H20/PIB_2022,"n.d.")</f>
        <v>0.590395961140021</v>
      </c>
      <c r="T20" s="33" t="n">
        <f aca="false">IFERROR(I20/PIB_2025,"n.d.")</f>
        <v>0.677862798685504</v>
      </c>
      <c r="U20" s="30" t="s">
        <v>170</v>
      </c>
      <c r="V20" s="30" t="s">
        <v>171</v>
      </c>
      <c r="W20" s="30" t="s">
        <v>170</v>
      </c>
      <c r="X20" s="30" t="s">
        <v>172</v>
      </c>
      <c r="Y20" s="30" t="s">
        <v>108</v>
      </c>
      <c r="Z20" s="30" t="s">
        <v>173</v>
      </c>
    </row>
    <row r="21" customFormat="false" ht="22.35" hidden="false" customHeight="false" outlineLevel="0" collapsed="false">
      <c r="A21" s="29" t="s">
        <v>174</v>
      </c>
      <c r="B21" s="30" t="s">
        <v>175</v>
      </c>
      <c r="C21" s="30" t="s">
        <v>176</v>
      </c>
      <c r="D21" s="30" t="s">
        <v>177</v>
      </c>
      <c r="E21" s="29" t="s">
        <v>106</v>
      </c>
      <c r="F21" s="31" t="n">
        <f aca="false">'Dívida e juros'!F6</f>
        <v>4378.48639</v>
      </c>
      <c r="G21" s="31" t="n">
        <f aca="false">'Dívida e juros'!G6</f>
        <v>5500.10416</v>
      </c>
      <c r="H21" s="31" t="n">
        <f aca="false">'Dívida e juros'!H6</f>
        <v>7224.88223</v>
      </c>
      <c r="I21" s="31" t="n">
        <f aca="false">'Dívida e juros'!I6</f>
        <v>10017.91914</v>
      </c>
      <c r="J21" s="32" t="n">
        <f aca="false">IFERROR(F21*FATOR_2016,"n.d.")</f>
        <v>6787.52947342235</v>
      </c>
      <c r="K21" s="32" t="n">
        <f aca="false">IFERROR(G21*FATOR_2019,"n.d.")</f>
        <v>7653.56254437036</v>
      </c>
      <c r="L21" s="32" t="n">
        <f aca="false">IFERROR(H21*FATOR_2022,"n.d.")</f>
        <v>8261.84040761508</v>
      </c>
      <c r="M21" s="33" t="n">
        <f aca="false">IFERROR(I21/G21-1,"n.d.")</f>
        <v>0.82140534953069</v>
      </c>
      <c r="N21" s="33" t="n">
        <f aca="false">IFERROR(I21/J21-1,"n.d.")</f>
        <v>0.475930112602348</v>
      </c>
      <c r="O21" s="33" t="n">
        <f aca="false">IFERROR(I21/K21-1,"n.d.")</f>
        <v>0.308922358956714</v>
      </c>
      <c r="P21" s="33" t="n">
        <f aca="false">IFERROR(I21/L21-1,"n.d.")</f>
        <v>0.212552971946337</v>
      </c>
      <c r="Q21" s="33" t="n">
        <f aca="false">IFERROR(F21/PIB_2016,"n.d.")</f>
        <v>0.698398151827142</v>
      </c>
      <c r="R21" s="33" t="n">
        <f aca="false">IFERROR(G21/PIB_2019,"n.d.")</f>
        <v>0.744350609022901</v>
      </c>
      <c r="S21" s="33" t="n">
        <f aca="false">IFERROR(H21/PIB_2022,"n.d.")</f>
        <v>0.716777228752194</v>
      </c>
      <c r="T21" s="33" t="n">
        <f aca="false">IFERROR(I21/PIB_2025,"n.d.")</f>
        <v>0.786424401302313</v>
      </c>
      <c r="U21" s="30" t="s">
        <v>178</v>
      </c>
      <c r="V21" s="30" t="s">
        <v>179</v>
      </c>
      <c r="W21" s="30" t="s">
        <v>178</v>
      </c>
      <c r="X21" s="30" t="s">
        <v>180</v>
      </c>
      <c r="Y21" s="30" t="s">
        <v>108</v>
      </c>
      <c r="Z21" s="30" t="s">
        <v>181</v>
      </c>
    </row>
    <row r="22" customFormat="false" ht="32.8" hidden="false" customHeight="false" outlineLevel="0" collapsed="false">
      <c r="A22" s="29" t="s">
        <v>182</v>
      </c>
      <c r="B22" s="30" t="s">
        <v>183</v>
      </c>
      <c r="C22" s="30" t="s">
        <v>184</v>
      </c>
      <c r="D22" s="30" t="s">
        <v>185</v>
      </c>
      <c r="E22" s="29" t="s">
        <v>106</v>
      </c>
      <c r="F22" s="31" t="n">
        <f aca="false">'Dívida e juros'!F8</f>
        <v>2892.91346</v>
      </c>
      <c r="G22" s="31" t="n">
        <f aca="false">'Dívida e juros'!G8</f>
        <v>4041.76878</v>
      </c>
      <c r="H22" s="31" t="n">
        <f aca="false">'Dívida e juros'!H8</f>
        <v>5658.01687</v>
      </c>
      <c r="I22" s="31" t="n">
        <f aca="false">'Dívida e juros'!I8</f>
        <v>8311.08576</v>
      </c>
      <c r="J22" s="32" t="n">
        <f aca="false">IFERROR(F22*FATOR_2016,"n.d.")</f>
        <v>4484.59436088603</v>
      </c>
      <c r="K22" s="32" t="n">
        <f aca="false">IFERROR(G22*FATOR_2019,"n.d.")</f>
        <v>5624.24442296625</v>
      </c>
      <c r="L22" s="32" t="n">
        <f aca="false">IFERROR(H22*FATOR_2022,"n.d.")</f>
        <v>6470.08918836505</v>
      </c>
      <c r="M22" s="33" t="n">
        <f aca="false">IFERROR(I22/G22-1,"n.d.")</f>
        <v>1.05629916315995</v>
      </c>
      <c r="N22" s="33" t="n">
        <f aca="false">IFERROR(I22/J22-1,"n.d.")</f>
        <v>0.853252510971353</v>
      </c>
      <c r="O22" s="33" t="n">
        <f aca="false">IFERROR(I22/K22-1,"n.d.")</f>
        <v>0.477724852437458</v>
      </c>
      <c r="P22" s="33" t="n">
        <f aca="false">IFERROR(I22/L22-1,"n.d.")</f>
        <v>0.284539597220012</v>
      </c>
      <c r="Q22" s="33" t="n">
        <f aca="false">IFERROR(F22/PIB_2016,"n.d.")</f>
        <v>0.461439235822282</v>
      </c>
      <c r="R22" s="33" t="n">
        <f aca="false">IFERROR(G22/PIB_2019,"n.d.")</f>
        <v>0.546988377929692</v>
      </c>
      <c r="S22" s="33" t="n">
        <f aca="false">IFERROR(H22/PIB_2022,"n.d.")</f>
        <v>0.561329240146211</v>
      </c>
      <c r="T22" s="33" t="n">
        <f aca="false">IFERROR(I22/PIB_2025,"n.d.")</f>
        <v>0.652434956964544</v>
      </c>
      <c r="U22" s="30" t="s">
        <v>178</v>
      </c>
      <c r="V22" s="30" t="s">
        <v>186</v>
      </c>
      <c r="W22" s="30" t="s">
        <v>178</v>
      </c>
      <c r="X22" s="30" t="s">
        <v>180</v>
      </c>
      <c r="Y22" s="30" t="s">
        <v>108</v>
      </c>
      <c r="Z22" s="30" t="s">
        <v>113</v>
      </c>
    </row>
    <row r="23" customFormat="false" ht="53.7" hidden="false" customHeight="false" outlineLevel="0" collapsed="false">
      <c r="A23" s="34" t="s">
        <v>187</v>
      </c>
      <c r="B23" s="35" t="s">
        <v>188</v>
      </c>
      <c r="C23" s="35" t="s">
        <v>189</v>
      </c>
      <c r="D23" s="35" t="s">
        <v>140</v>
      </c>
      <c r="E23" s="34" t="s">
        <v>106</v>
      </c>
      <c r="F23" s="31" t="n">
        <f aca="false">'Receitas públicas'!F17</f>
        <v>271</v>
      </c>
      <c r="G23" s="36" t="n">
        <f aca="false">'Receitas públicas'!G17</f>
        <v>308.4</v>
      </c>
      <c r="H23" s="31" t="n">
        <f aca="false">'Receitas públicas'!H17</f>
        <v>461.05</v>
      </c>
      <c r="I23" s="36" t="n">
        <f aca="false">'Receitas públicas'!I17</f>
        <v>587.4</v>
      </c>
      <c r="J23" s="37" t="n">
        <f aca="false">IFERROR(F23*FATOR_2016,"n.d.")</f>
        <v>420.104192055615</v>
      </c>
      <c r="K23" s="37" t="n">
        <f aca="false">IFERROR(G23*FATOR_2019,"n.d.")</f>
        <v>429.147997932428</v>
      </c>
      <c r="L23" s="37" t="n">
        <f aca="false">IFERROR(H23*FATOR_2022,"n.d.")</f>
        <v>527.222645113058</v>
      </c>
      <c r="M23" s="38" t="n">
        <f aca="false">IFERROR(I23/G23-1,"n.d.")</f>
        <v>0.904669260700389</v>
      </c>
      <c r="N23" s="38" t="n">
        <f aca="false">IFERROR(I23/J23-1,"n.d.")</f>
        <v>0.398224562163469</v>
      </c>
      <c r="O23" s="38" t="n">
        <f aca="false">IFERROR(I23/K23-1,"n.d.")</f>
        <v>0.368758570073743</v>
      </c>
      <c r="P23" s="38" t="n">
        <f aca="false">IFERROR(I23/L23-1,"n.d.")</f>
        <v>0.114140307600098</v>
      </c>
      <c r="Q23" s="38" t="n">
        <f aca="false">IFERROR(F23/PIB_2016,"n.d.")</f>
        <v>0.0432263303541193</v>
      </c>
      <c r="R23" s="38" t="n">
        <f aca="false">IFERROR(G23/PIB_2019,"n.d.")</f>
        <v>0.0417369782725465</v>
      </c>
      <c r="S23" s="38" t="n">
        <f aca="false">IFERROR(H23/PIB_2022,"n.d.")</f>
        <v>0.0457405575337937</v>
      </c>
      <c r="T23" s="38" t="n">
        <f aca="false">IFERROR(I23/PIB_2025,"n.d.")</f>
        <v>0.0461119407003897</v>
      </c>
      <c r="U23" s="35" t="s">
        <v>190</v>
      </c>
      <c r="V23" s="35" t="s">
        <v>191</v>
      </c>
      <c r="W23" s="35" t="s">
        <v>192</v>
      </c>
      <c r="X23" s="35" t="s">
        <v>193</v>
      </c>
      <c r="Y23" s="35" t="s">
        <v>108</v>
      </c>
      <c r="Z23" s="35" t="s">
        <v>194</v>
      </c>
    </row>
    <row r="24" customFormat="false" ht="53.7" hidden="false" customHeight="false" outlineLevel="0" collapsed="false">
      <c r="A24" s="34" t="s">
        <v>195</v>
      </c>
      <c r="B24" s="35" t="s">
        <v>196</v>
      </c>
      <c r="C24" s="35" t="s">
        <v>197</v>
      </c>
      <c r="D24" s="35" t="s">
        <v>140</v>
      </c>
      <c r="E24" s="34" t="s">
        <v>106</v>
      </c>
      <c r="F24" s="31" t="n">
        <f aca="false">'Receitas públicas'!F18</f>
        <v>115</v>
      </c>
      <c r="G24" s="36" t="n">
        <f aca="false">'Receitas públicas'!G18</f>
        <v>40.05</v>
      </c>
      <c r="H24" s="31" t="n">
        <f aca="false">'Receitas públicas'!H18</f>
        <v>120.43</v>
      </c>
      <c r="I24" s="36" t="n">
        <f aca="false">'Receitas públicas'!I18</f>
        <v>172.5</v>
      </c>
      <c r="J24" s="37" t="n">
        <f aca="false">IFERROR(F24*FATOR_2016,"n.d.")</f>
        <v>178.272996628766</v>
      </c>
      <c r="K24" s="37" t="n">
        <f aca="false">IFERROR(G24*FATOR_2019,"n.d.")</f>
        <v>55.7307954513416</v>
      </c>
      <c r="L24" s="37" t="n">
        <f aca="false">IFERROR(H24*FATOR_2022,"n.d.")</f>
        <v>137.714831690631</v>
      </c>
      <c r="M24" s="38" t="n">
        <f aca="false">IFERROR(I24/G24-1,"n.d.")</f>
        <v>3.30711610486891</v>
      </c>
      <c r="N24" s="38" t="n">
        <f aca="false">IFERROR(I24/J24-1,"n.d.")</f>
        <v>-0.0323829000349845</v>
      </c>
      <c r="O24" s="38" t="n">
        <f aca="false">IFERROR(I24/K24-1,"n.d.")</f>
        <v>2.09523663897117</v>
      </c>
      <c r="P24" s="38" t="n">
        <f aca="false">IFERROR(I24/L24-1,"n.d.")</f>
        <v>0.252588395035848</v>
      </c>
      <c r="Q24" s="38" t="n">
        <f aca="false">IFERROR(F24/PIB_2016,"n.d.")</f>
        <v>0.0183432767185377</v>
      </c>
      <c r="R24" s="38" t="n">
        <f aca="false">IFERROR(G24/PIB_2019,"n.d.")</f>
        <v>0.00542012315115269</v>
      </c>
      <c r="S24" s="38" t="n">
        <f aca="false">IFERROR(H24/PIB_2022,"n.d.")</f>
        <v>0.0119478046714994</v>
      </c>
      <c r="T24" s="38" t="n">
        <f aca="false">IFERROR(I24/PIB_2025,"n.d.")</f>
        <v>0.0135415556193688</v>
      </c>
      <c r="U24" s="35" t="s">
        <v>198</v>
      </c>
      <c r="V24" s="35" t="s">
        <v>199</v>
      </c>
      <c r="W24" s="35" t="s">
        <v>192</v>
      </c>
      <c r="X24" s="35" t="s">
        <v>200</v>
      </c>
      <c r="Y24" s="35" t="s">
        <v>108</v>
      </c>
      <c r="Z24" s="35" t="s">
        <v>201</v>
      </c>
    </row>
    <row r="25" customFormat="false" ht="22.35" hidden="false" customHeight="false" outlineLevel="0" collapsed="false">
      <c r="A25" s="29" t="s">
        <v>202</v>
      </c>
      <c r="B25" s="30" t="s">
        <v>203</v>
      </c>
      <c r="C25" s="30" t="s">
        <v>204</v>
      </c>
      <c r="D25" s="30" t="s">
        <v>140</v>
      </c>
      <c r="E25" s="29" t="s">
        <v>106</v>
      </c>
      <c r="F25" s="31" t="n">
        <f aca="false">'Dívida e juros'!F10</f>
        <v>204.89</v>
      </c>
      <c r="G25" s="31" t="n">
        <f aca="false">'Dívida e juros'!G10</f>
        <v>285.09</v>
      </c>
      <c r="H25" s="31" t="n">
        <f aca="false">'Dívida e juros'!H10</f>
        <v>247.31</v>
      </c>
      <c r="I25" s="31" t="n">
        <f aca="false">'Dívida e juros'!I10</f>
        <v>363.47</v>
      </c>
      <c r="J25" s="32" t="n">
        <f aca="false">IFERROR(F25*FATOR_2016,"n.d.")</f>
        <v>317.620471993634</v>
      </c>
      <c r="K25" s="32" t="n">
        <f aca="false">IFERROR(G25*FATOR_2019,"n.d.")</f>
        <v>396.711422602321</v>
      </c>
      <c r="L25" s="32" t="n">
        <f aca="false">IFERROR(H25*FATOR_2022,"n.d.")</f>
        <v>282.805405840821</v>
      </c>
      <c r="M25" s="33" t="n">
        <f aca="false">IFERROR(I25/G25-1,"n.d.")</f>
        <v>0.274930723631134</v>
      </c>
      <c r="N25" s="33" t="n">
        <f aca="false">IFERROR(I25/J25-1,"n.d.")</f>
        <v>0.144353188944586</v>
      </c>
      <c r="O25" s="33" t="n">
        <f aca="false">IFERROR(I25/K25-1,"n.d.")</f>
        <v>-0.0837924514103133</v>
      </c>
      <c r="P25" s="33" t="n">
        <f aca="false">IFERROR(I25/L25-1,"n.d.")</f>
        <v>0.285230029176252</v>
      </c>
      <c r="Q25" s="33" t="n">
        <f aca="false">IFERROR(F25/PIB_2016,"n.d.")</f>
        <v>0.0326813388422713</v>
      </c>
      <c r="R25" s="33" t="n">
        <f aca="false">IFERROR(G25/PIB_2019,"n.d.")</f>
        <v>0.0385823447980554</v>
      </c>
      <c r="S25" s="33" t="n">
        <f aca="false">IFERROR(H25/PIB_2022,"n.d.")</f>
        <v>0.0245355108636428</v>
      </c>
      <c r="T25" s="33" t="n">
        <f aca="false">IFERROR(I25/PIB_2025,"n.d.")</f>
        <v>0.0285330389621563</v>
      </c>
      <c r="U25" s="30" t="s">
        <v>147</v>
      </c>
      <c r="V25" s="30" t="s">
        <v>147</v>
      </c>
      <c r="W25" s="30" t="s">
        <v>147</v>
      </c>
      <c r="X25" s="30" t="s">
        <v>148</v>
      </c>
      <c r="Y25" s="30" t="s">
        <v>108</v>
      </c>
      <c r="Z25" s="30" t="s">
        <v>205</v>
      </c>
    </row>
    <row r="26" customFormat="false" ht="32.8" hidden="false" customHeight="false" outlineLevel="0" collapsed="false">
      <c r="A26" s="29" t="s">
        <v>206</v>
      </c>
      <c r="B26" s="30" t="s">
        <v>207</v>
      </c>
      <c r="C26" s="30" t="s">
        <v>208</v>
      </c>
      <c r="D26" s="30" t="s">
        <v>185</v>
      </c>
      <c r="E26" s="29" t="s">
        <v>106</v>
      </c>
      <c r="F26" s="31" t="n">
        <f aca="false">'Dívida e juros'!F11</f>
        <v>407.024</v>
      </c>
      <c r="G26" s="31" t="n">
        <f aca="false">'Dívida e juros'!G11</f>
        <v>367.282</v>
      </c>
      <c r="H26" s="31" t="n">
        <f aca="false">'Dívida e juros'!H11</f>
        <v>586.4</v>
      </c>
      <c r="I26" s="31" t="n">
        <f aca="false">'Dívida e juros'!I11</f>
        <v>1007.6</v>
      </c>
      <c r="J26" s="32" t="n">
        <f aca="false">IFERROR(F26*FATOR_2016,"n.d.")</f>
        <v>630.968592868061</v>
      </c>
      <c r="K26" s="32" t="n">
        <f aca="false">IFERROR(G26*FATOR_2019,"n.d.")</f>
        <v>511.084095254922</v>
      </c>
      <c r="L26" s="32" t="n">
        <f aca="false">IFERROR(H26*FATOR_2022,"n.d.")</f>
        <v>670.563624540283</v>
      </c>
      <c r="M26" s="33" t="n">
        <f aca="false">IFERROR(I26/G26-1,"n.d.")</f>
        <v>1.74339608257415</v>
      </c>
      <c r="N26" s="33" t="n">
        <f aca="false">IFERROR(I26/J26-1,"n.d.")</f>
        <v>0.596909911822972</v>
      </c>
      <c r="O26" s="33" t="n">
        <f aca="false">IFERROR(I26/K26-1,"n.d.")</f>
        <v>0.971495511902835</v>
      </c>
      <c r="P26" s="33" t="n">
        <f aca="false">IFERROR(I26/L26-1,"n.d.")</f>
        <v>0.50261654990722</v>
      </c>
      <c r="Q26" s="33" t="n">
        <f aca="false">IFERROR(F26/PIB_2016,"n.d.")</f>
        <v>0.0649230770703139</v>
      </c>
      <c r="R26" s="33" t="n">
        <f aca="false">IFERROR(G26/PIB_2019,"n.d.")</f>
        <v>0.0497057096429878</v>
      </c>
      <c r="S26" s="33" t="n">
        <f aca="false">IFERROR(H26/PIB_2022,"n.d.")</f>
        <v>0.0581764731326682</v>
      </c>
      <c r="T26" s="33" t="n">
        <f aca="false">IFERROR(I26/PIB_2025,"n.d.")</f>
        <v>0.0790983851714549</v>
      </c>
      <c r="U26" s="30" t="s">
        <v>209</v>
      </c>
      <c r="V26" s="30" t="s">
        <v>210</v>
      </c>
      <c r="W26" s="30" t="s">
        <v>209</v>
      </c>
      <c r="X26" s="30" t="s">
        <v>211</v>
      </c>
      <c r="Y26" s="30" t="s">
        <v>108</v>
      </c>
      <c r="Z26" s="30" t="s">
        <v>212</v>
      </c>
    </row>
    <row r="27" customFormat="false" ht="22.35" hidden="false" customHeight="false" outlineLevel="0" collapsed="false">
      <c r="A27" s="29" t="s">
        <v>213</v>
      </c>
      <c r="B27" s="30" t="s">
        <v>214</v>
      </c>
      <c r="C27" s="30" t="s">
        <v>215</v>
      </c>
      <c r="D27" s="30" t="s">
        <v>140</v>
      </c>
      <c r="E27" s="29" t="s">
        <v>106</v>
      </c>
      <c r="F27" s="31" t="n">
        <f aca="false">'Dívida e juros'!F16</f>
        <v>271.44</v>
      </c>
      <c r="G27" s="31" t="n">
        <f aca="false">'Dívida e juros'!G16</f>
        <v>275.69</v>
      </c>
      <c r="H27" s="31" t="n">
        <f aca="false">'Dívida e juros'!H16</f>
        <v>207.09</v>
      </c>
      <c r="I27" s="31" t="n">
        <f aca="false">'Dívida e juros'!I16</f>
        <v>353.98</v>
      </c>
      <c r="J27" s="32" t="n">
        <f aca="false">IFERROR(F27*FATOR_2016,"n.d.")</f>
        <v>420.786280042716</v>
      </c>
      <c r="K27" s="32" t="n">
        <f aca="false">IFERROR(G27*FATOR_2019,"n.d.")</f>
        <v>383.631036154316</v>
      </c>
      <c r="L27" s="32" t="n">
        <f aca="false">IFERROR(H27*FATOR_2022,"n.d.")</f>
        <v>236.812791620135</v>
      </c>
      <c r="M27" s="33" t="n">
        <f aca="false">IFERROR(I27/G27-1,"n.d.")</f>
        <v>0.28397838151547</v>
      </c>
      <c r="N27" s="33" t="n">
        <f aca="false">IFERROR(I27/J27-1,"n.d.")</f>
        <v>-0.158765347662796</v>
      </c>
      <c r="O27" s="33" t="n">
        <f aca="false">IFERROR(I27/K27-1,"n.d.")</f>
        <v>-0.0772905040518903</v>
      </c>
      <c r="P27" s="33" t="n">
        <f aca="false">IFERROR(I27/L27-1,"n.d.")</f>
        <v>0.49476722764119</v>
      </c>
      <c r="Q27" s="33" t="n">
        <f aca="false">IFERROR(F27/PIB_2016,"n.d.")</f>
        <v>0.043296513325912</v>
      </c>
      <c r="R27" s="33" t="n">
        <f aca="false">IFERROR(G27/PIB_2019,"n.d.")</f>
        <v>0.0373102060309934</v>
      </c>
      <c r="S27" s="33" t="n">
        <f aca="false">IFERROR(H27/PIB_2022,"n.d.")</f>
        <v>0.0205453032418899</v>
      </c>
      <c r="T27" s="33" t="n">
        <f aca="false">IFERROR(I27/PIB_2025,"n.d.")</f>
        <v>0.0277880571486618</v>
      </c>
      <c r="U27" s="30" t="s">
        <v>147</v>
      </c>
      <c r="V27" s="30" t="s">
        <v>147</v>
      </c>
      <c r="W27" s="30" t="s">
        <v>147</v>
      </c>
      <c r="X27" s="30" t="s">
        <v>148</v>
      </c>
      <c r="Y27" s="30" t="s">
        <v>108</v>
      </c>
      <c r="Z27" s="30" t="s">
        <v>216</v>
      </c>
    </row>
    <row r="28" customFormat="false" ht="22.35" hidden="false" customHeight="false" outlineLevel="0" collapsed="false">
      <c r="A28" s="29" t="s">
        <v>217</v>
      </c>
      <c r="B28" s="30" t="s">
        <v>218</v>
      </c>
      <c r="C28" s="30" t="s">
        <v>219</v>
      </c>
      <c r="D28" s="30" t="s">
        <v>140</v>
      </c>
      <c r="E28" s="29" t="s">
        <v>106</v>
      </c>
      <c r="F28" s="31" t="n">
        <f aca="false">'Dívida e juros'!F17</f>
        <v>653.82</v>
      </c>
      <c r="G28" s="31" t="n">
        <f aca="false">'Dívida e juros'!G17</f>
        <v>476.78</v>
      </c>
      <c r="H28" s="31" t="n">
        <f aca="false">'Dívida e juros'!H17</f>
        <v>1425.07</v>
      </c>
      <c r="I28" s="31" t="n">
        <f aca="false">'Dívida e juros'!I17</f>
        <v>1417.64</v>
      </c>
      <c r="J28" s="32" t="n">
        <f aca="false">IFERROR(F28*FATOR_2016,"n.d.")</f>
        <v>1013.55174483322</v>
      </c>
      <c r="K28" s="32" t="n">
        <f aca="false">IFERROR(G28*FATOR_2019,"n.d.")</f>
        <v>663.453899008505</v>
      </c>
      <c r="L28" s="32" t="n">
        <f aca="false">IFERROR(H28*FATOR_2022,"n.d.")</f>
        <v>1629.60454369649</v>
      </c>
      <c r="M28" s="33" t="n">
        <f aca="false">IFERROR(I28/G28-1,"n.d.")</f>
        <v>1.97336297663493</v>
      </c>
      <c r="N28" s="33" t="n">
        <f aca="false">IFERROR(I28/J28-1,"n.d.")</f>
        <v>0.398685372726851</v>
      </c>
      <c r="O28" s="33" t="n">
        <f aca="false">IFERROR(I28/K28-1,"n.d.")</f>
        <v>1.13675735739677</v>
      </c>
      <c r="P28" s="33" t="n">
        <f aca="false">IFERROR(I28/L28-1,"n.d.")</f>
        <v>-0.130071154082378</v>
      </c>
      <c r="Q28" s="33" t="n">
        <f aca="false">IFERROR(F28/PIB_2016,"n.d.")</f>
        <v>0.10428870594882</v>
      </c>
      <c r="R28" s="33" t="n">
        <f aca="false">IFERROR(G28/PIB_2019,"n.d.")</f>
        <v>0.064524502272324</v>
      </c>
      <c r="S28" s="33" t="n">
        <f aca="false">IFERROR(H28/PIB_2022,"n.d.")</f>
        <v>0.141380536437878</v>
      </c>
      <c r="T28" s="33" t="n">
        <f aca="false">IFERROR(I28/PIB_2025,"n.d.")</f>
        <v>0.111287251641982</v>
      </c>
      <c r="U28" s="30" t="s">
        <v>147</v>
      </c>
      <c r="V28" s="30" t="s">
        <v>147</v>
      </c>
      <c r="W28" s="30" t="s">
        <v>147</v>
      </c>
      <c r="X28" s="30" t="s">
        <v>148</v>
      </c>
      <c r="Y28" s="30" t="s">
        <v>108</v>
      </c>
      <c r="Z28" s="30" t="s">
        <v>220</v>
      </c>
    </row>
    <row r="29" customFormat="false" ht="22.35" hidden="false" customHeight="false" outlineLevel="0" collapsed="false">
      <c r="A29" s="29" t="s">
        <v>221</v>
      </c>
      <c r="B29" s="30" t="s">
        <v>222</v>
      </c>
      <c r="C29" s="30" t="s">
        <v>223</v>
      </c>
      <c r="D29" s="30" t="s">
        <v>140</v>
      </c>
      <c r="E29" s="29" t="s">
        <v>106</v>
      </c>
      <c r="F29" s="31" t="n">
        <f aca="false">'LOA e execução orçamentária'!F9</f>
        <v>45.31</v>
      </c>
      <c r="G29" s="31" t="n">
        <f aca="false">'LOA e execução orçamentária'!G9</f>
        <v>36.12</v>
      </c>
      <c r="H29" s="31" t="n">
        <f aca="false">'LOA e execução orçamentária'!H9</f>
        <v>42.36</v>
      </c>
      <c r="I29" s="31" t="n">
        <f aca="false">'LOA e execução orçamentária'!I9</f>
        <v>80.28</v>
      </c>
      <c r="J29" s="32" t="n">
        <f aca="false">IFERROR(F29*FATOR_2016,"n.d.")</f>
        <v>70.239560671734</v>
      </c>
      <c r="K29" s="32" t="n">
        <f aca="false">IFERROR(G29*FATOR_2019,"n.d.")</f>
        <v>50.2620806916968</v>
      </c>
      <c r="L29" s="32" t="n">
        <f aca="false">IFERROR(H29*FATOR_2022,"n.d.")</f>
        <v>48.4397597809113</v>
      </c>
      <c r="M29" s="33" t="n">
        <f aca="false">IFERROR(I29/G29-1,"n.d.")</f>
        <v>1.22259136212625</v>
      </c>
      <c r="N29" s="33" t="n">
        <f aca="false">IFERROR(I29/J29-1,"n.d.")</f>
        <v>0.142945645334973</v>
      </c>
      <c r="O29" s="33" t="n">
        <f aca="false">IFERROR(I29/K29-1,"n.d.")</f>
        <v>0.597227947892378</v>
      </c>
      <c r="P29" s="33" t="n">
        <f aca="false">IFERROR(I29/L29-1,"n.d.")</f>
        <v>0.657316228715817</v>
      </c>
      <c r="Q29" s="33" t="n">
        <f aca="false">IFERROR(F29/PIB_2016,"n.d.")</f>
        <v>0.00722725102710387</v>
      </c>
      <c r="R29" s="33" t="n">
        <f aca="false">IFERROR(G29/PIB_2019,"n.d.")</f>
        <v>0.00488826087939164</v>
      </c>
      <c r="S29" s="33" t="n">
        <f aca="false">IFERROR(H29/PIB_2022,"n.d.")</f>
        <v>0.00420251603325345</v>
      </c>
      <c r="T29" s="33" t="n">
        <f aca="false">IFERROR(I29/PIB_2025,"n.d.")</f>
        <v>0.00630212223259667</v>
      </c>
      <c r="U29" s="30" t="s">
        <v>147</v>
      </c>
      <c r="V29" s="30" t="s">
        <v>147</v>
      </c>
      <c r="W29" s="30" t="s">
        <v>147</v>
      </c>
      <c r="X29" s="30" t="s">
        <v>147</v>
      </c>
      <c r="Y29" s="30" t="s">
        <v>108</v>
      </c>
      <c r="Z29" s="30" t="s">
        <v>224</v>
      </c>
    </row>
    <row r="30" customFormat="false" ht="22.35" hidden="false" customHeight="false" outlineLevel="0" collapsed="false">
      <c r="A30" s="29" t="s">
        <v>225</v>
      </c>
      <c r="B30" s="30" t="s">
        <v>226</v>
      </c>
      <c r="C30" s="30" t="s">
        <v>227</v>
      </c>
      <c r="D30" s="30" t="s">
        <v>140</v>
      </c>
      <c r="E30" s="29" t="s">
        <v>106</v>
      </c>
      <c r="F30" s="31" t="n">
        <f aca="false">'LOA e execução orçamentária'!F11</f>
        <v>38.08</v>
      </c>
      <c r="G30" s="31" t="n">
        <f aca="false">'LOA e execução orçamentária'!G11</f>
        <v>42.44</v>
      </c>
      <c r="H30" s="31" t="n">
        <f aca="false">'LOA e execução orçamentária'!H11</f>
        <v>51.19</v>
      </c>
      <c r="I30" s="31" t="n">
        <f aca="false">'LOA e execução orçamentária'!I11</f>
        <v>72.11</v>
      </c>
      <c r="J30" s="32" t="n">
        <f aca="false">IFERROR(F30*FATOR_2016,"n.d.")</f>
        <v>59.031614883682</v>
      </c>
      <c r="K30" s="32" t="n">
        <f aca="false">IFERROR(G30*FATOR_2019,"n.d.")</f>
        <v>59.0565532822706</v>
      </c>
      <c r="L30" s="32" t="n">
        <f aca="false">IFERROR(H30*FATOR_2022,"n.d.")</f>
        <v>58.5370940317481</v>
      </c>
      <c r="M30" s="33" t="n">
        <f aca="false">IFERROR(I30/G30-1,"n.d.")</f>
        <v>0.699104618284637</v>
      </c>
      <c r="N30" s="33" t="n">
        <f aca="false">IFERROR(I30/J30-1,"n.d.")</f>
        <v>0.221548828404714</v>
      </c>
      <c r="O30" s="33" t="n">
        <f aca="false">IFERROR(I30/K30-1,"n.d.")</f>
        <v>0.221032992821954</v>
      </c>
      <c r="P30" s="33" t="n">
        <f aca="false">IFERROR(I30/L30-1,"n.d.")</f>
        <v>0.231868462088168</v>
      </c>
      <c r="Q30" s="33" t="n">
        <f aca="false">IFERROR(F30/PIB_2016,"n.d.")</f>
        <v>0.0060740171951471</v>
      </c>
      <c r="R30" s="33" t="n">
        <f aca="false">IFERROR(G30/PIB_2019,"n.d.")</f>
        <v>0.00574357119937378</v>
      </c>
      <c r="S30" s="33" t="n">
        <f aca="false">IFERROR(H30/PIB_2022,"n.d.")</f>
        <v>0.00507853625453834</v>
      </c>
      <c r="T30" s="33" t="n">
        <f aca="false">IFERROR(I30/PIB_2025,"n.d.")</f>
        <v>0.00566076275775468</v>
      </c>
      <c r="U30" s="30" t="s">
        <v>147</v>
      </c>
      <c r="V30" s="30" t="s">
        <v>147</v>
      </c>
      <c r="W30" s="30" t="s">
        <v>147</v>
      </c>
      <c r="X30" s="30" t="s">
        <v>147</v>
      </c>
      <c r="Y30" s="30" t="s">
        <v>108</v>
      </c>
      <c r="Z30" s="30" t="s">
        <v>113</v>
      </c>
    </row>
    <row r="31" customFormat="false" ht="15" hidden="false" customHeight="false" outlineLevel="0" collapsed="false">
      <c r="A31" s="29" t="s">
        <v>228</v>
      </c>
      <c r="B31" s="30" t="s">
        <v>229</v>
      </c>
      <c r="C31" s="30" t="s">
        <v>230</v>
      </c>
      <c r="D31" s="30" t="s">
        <v>140</v>
      </c>
      <c r="E31" s="29" t="s">
        <v>106</v>
      </c>
      <c r="F31" s="31" t="n">
        <f aca="false">'LOA e execução orçamentária'!F13</f>
        <v>16.8</v>
      </c>
      <c r="G31" s="31" t="n">
        <f aca="false">'LOA e execução orçamentária'!G13</f>
        <v>16.37</v>
      </c>
      <c r="H31" s="31" t="n">
        <f aca="false">'LOA e execução orçamentária'!H13</f>
        <v>19.59</v>
      </c>
      <c r="I31" s="31" t="n">
        <f aca="false">'LOA e execução orçamentária'!I13</f>
        <v>37.81</v>
      </c>
      <c r="J31" s="32" t="n">
        <f aca="false">IFERROR(F31*FATOR_2016,"n.d.")</f>
        <v>26.0433595075068</v>
      </c>
      <c r="K31" s="32" t="n">
        <f aca="false">IFERROR(G31*FATOR_2019,"n.d.")</f>
        <v>22.7793538461538</v>
      </c>
      <c r="L31" s="32" t="n">
        <f aca="false">IFERROR(H31*FATOR_2022,"n.d.")</f>
        <v>22.4016736097274</v>
      </c>
      <c r="M31" s="33" t="n">
        <f aca="false">IFERROR(I31/G31-1,"n.d.")</f>
        <v>1.30971288943189</v>
      </c>
      <c r="N31" s="33" t="n">
        <f aca="false">IFERROR(I31/J31-1,"n.d.")</f>
        <v>0.451809624987192</v>
      </c>
      <c r="O31" s="33" t="n">
        <f aca="false">IFERROR(I31/K31-1,"n.d.")</f>
        <v>0.65983637004629</v>
      </c>
      <c r="P31" s="33" t="n">
        <f aca="false">IFERROR(I31/L31-1,"n.d.")</f>
        <v>0.687820323548591</v>
      </c>
      <c r="Q31" s="33" t="n">
        <f aca="false">IFERROR(F31/PIB_2016,"n.d.")</f>
        <v>0.00267971346844725</v>
      </c>
      <c r="R31" s="33" t="n">
        <f aca="false">IFERROR(G31/PIB_2019,"n.d.")</f>
        <v>0.00221541612944743</v>
      </c>
      <c r="S31" s="33" t="n">
        <f aca="false">IFERROR(H31/PIB_2022,"n.d.")</f>
        <v>0.00194351485107259</v>
      </c>
      <c r="T31" s="33" t="n">
        <f aca="false">IFERROR(I31/PIB_2025,"n.d.")</f>
        <v>0.00296815198822222</v>
      </c>
      <c r="U31" s="30" t="s">
        <v>147</v>
      </c>
      <c r="V31" s="30" t="s">
        <v>147</v>
      </c>
      <c r="W31" s="30" t="s">
        <v>147</v>
      </c>
      <c r="X31" s="30" t="s">
        <v>147</v>
      </c>
      <c r="Y31" s="30" t="s">
        <v>108</v>
      </c>
      <c r="Z31" s="30" t="s">
        <v>231</v>
      </c>
    </row>
    <row r="32" customFormat="false" ht="22.35" hidden="false" customHeight="false" outlineLevel="0" collapsed="false">
      <c r="A32" s="29" t="s">
        <v>232</v>
      </c>
      <c r="B32" s="30" t="s">
        <v>233</v>
      </c>
      <c r="C32" s="30" t="s">
        <v>234</v>
      </c>
      <c r="D32" s="30" t="s">
        <v>140</v>
      </c>
      <c r="E32" s="29" t="s">
        <v>106</v>
      </c>
      <c r="F32" s="31" t="n">
        <f aca="false">'Saúde, educação e previdência'!F4</f>
        <v>108.006</v>
      </c>
      <c r="G32" s="31" t="n">
        <f aca="false">'Saúde, educação e previdência'!G4</f>
        <v>120.56</v>
      </c>
      <c r="H32" s="31" t="n">
        <f aca="false">'Saúde, educação e previdência'!H4</f>
        <v>147.204</v>
      </c>
      <c r="I32" s="31" t="n">
        <f aca="false">'Saúde, educação e previdência'!I4</f>
        <v>232.87</v>
      </c>
      <c r="J32" s="32" t="n">
        <f aca="false">IFERROR(F32*FATOR_2016,"n.d.")</f>
        <v>167.430898033796</v>
      </c>
      <c r="K32" s="32" t="n">
        <f aca="false">IFERROR(G32*FATOR_2019,"n.d.")</f>
        <v>167.762913848033</v>
      </c>
      <c r="L32" s="32" t="n">
        <f aca="false">IFERROR(H32*FATOR_2022,"n.d.")</f>
        <v>168.331595816555</v>
      </c>
      <c r="M32" s="33" t="n">
        <f aca="false">IFERROR(I32/G32-1,"n.d.")</f>
        <v>0.931569343065694</v>
      </c>
      <c r="N32" s="33" t="n">
        <f aca="false">IFERROR(I32/J32-1,"n.d.")</f>
        <v>0.390842447449544</v>
      </c>
      <c r="O32" s="33" t="n">
        <f aca="false">IFERROR(I32/K32-1,"n.d.")</f>
        <v>0.388089862405127</v>
      </c>
      <c r="P32" s="33" t="n">
        <f aca="false">IFERROR(I32/L32-1,"n.d.")</f>
        <v>0.383400417909529</v>
      </c>
      <c r="Q32" s="33" t="n">
        <f aca="false">IFERROR(F32/PIB_2016,"n.d.")</f>
        <v>0.0172276864805425</v>
      </c>
      <c r="R32" s="33" t="n">
        <f aca="false">IFERROR(G32/PIB_2019,"n.d.")</f>
        <v>0.0163158563571278</v>
      </c>
      <c r="S32" s="33" t="n">
        <f aca="false">IFERROR(H32/PIB_2022,"n.d.")</f>
        <v>0.01460404084417</v>
      </c>
      <c r="T32" s="33" t="n">
        <f aca="false">IFERROR(I32/PIB_2025,"n.d.")</f>
        <v>0.0182807075772893</v>
      </c>
      <c r="U32" s="30" t="s">
        <v>235</v>
      </c>
      <c r="V32" s="30" t="s">
        <v>235</v>
      </c>
      <c r="W32" s="30" t="s">
        <v>235</v>
      </c>
      <c r="X32" s="30" t="s">
        <v>235</v>
      </c>
      <c r="Y32" s="30" t="s">
        <v>108</v>
      </c>
      <c r="Z32" s="30" t="s">
        <v>224</v>
      </c>
    </row>
    <row r="33" customFormat="false" ht="15" hidden="false" customHeight="false" outlineLevel="0" collapsed="false">
      <c r="A33" s="29" t="s">
        <v>236</v>
      </c>
      <c r="B33" s="30" t="s">
        <v>237</v>
      </c>
      <c r="C33" s="30" t="s">
        <v>238</v>
      </c>
      <c r="D33" s="30" t="s">
        <v>140</v>
      </c>
      <c r="E33" s="29" t="s">
        <v>106</v>
      </c>
      <c r="F33" s="31" t="n">
        <f aca="false">'Saúde, educação e previdência'!F6</f>
        <v>106.487</v>
      </c>
      <c r="G33" s="31" t="n">
        <f aca="false">'Saúde, educação e previdência'!G6</f>
        <v>124.11</v>
      </c>
      <c r="H33" s="31" t="n">
        <f aca="false">'Saúde, educação e previdência'!H6</f>
        <v>153.231</v>
      </c>
      <c r="I33" s="31" t="n">
        <f aca="false">'Saúde, educação e previdência'!I6</f>
        <v>238.64</v>
      </c>
      <c r="J33" s="32" t="n">
        <f aca="false">IFERROR(F33*FATOR_2016,"n.d.")</f>
        <v>165.076144278326</v>
      </c>
      <c r="K33" s="32" t="n">
        <f aca="false">IFERROR(G33*FATOR_2019,"n.d.")</f>
        <v>172.702847027865</v>
      </c>
      <c r="L33" s="32" t="n">
        <f aca="false">IFERROR(H33*FATOR_2022,"n.d.")</f>
        <v>175.223626793881</v>
      </c>
      <c r="M33" s="33" t="n">
        <f aca="false">IFERROR(I33/G33-1,"n.d.")</f>
        <v>0.922810410120055</v>
      </c>
      <c r="N33" s="33" t="n">
        <f aca="false">IFERROR(I33/J33-1,"n.d.")</f>
        <v>0.445635897562778</v>
      </c>
      <c r="O33" s="33" t="n">
        <f aca="false">IFERROR(I33/K33-1,"n.d.")</f>
        <v>0.381795402373974</v>
      </c>
      <c r="P33" s="33" t="n">
        <f aca="false">IFERROR(I33/L33-1,"n.d.")</f>
        <v>0.361916793793546</v>
      </c>
      <c r="Q33" s="33" t="n">
        <f aca="false">IFERROR(F33/PIB_2016,"n.d.")</f>
        <v>0.0169853957211037</v>
      </c>
      <c r="R33" s="33" t="n">
        <f aca="false">IFERROR(G33/PIB_2019,"n.d.")</f>
        <v>0.0167962917425608</v>
      </c>
      <c r="S33" s="33" t="n">
        <f aca="false">IFERROR(H33/PIB_2022,"n.d.")</f>
        <v>0.0152019767302044</v>
      </c>
      <c r="T33" s="33" t="n">
        <f aca="false">IFERROR(I33/PIB_2025,"n.d.")</f>
        <v>0.0187336628000357</v>
      </c>
      <c r="U33" s="30" t="s">
        <v>235</v>
      </c>
      <c r="V33" s="30" t="s">
        <v>235</v>
      </c>
      <c r="W33" s="30" t="s">
        <v>235</v>
      </c>
      <c r="X33" s="30" t="s">
        <v>235</v>
      </c>
      <c r="Y33" s="30" t="s">
        <v>108</v>
      </c>
      <c r="Z33" s="30" t="s">
        <v>113</v>
      </c>
    </row>
    <row r="34" customFormat="false" ht="32.8" hidden="false" customHeight="false" outlineLevel="0" collapsed="false">
      <c r="A34" s="29" t="s">
        <v>239</v>
      </c>
      <c r="B34" s="30" t="s">
        <v>240</v>
      </c>
      <c r="C34" s="30" t="s">
        <v>241</v>
      </c>
      <c r="D34" s="30" t="s">
        <v>140</v>
      </c>
      <c r="E34" s="29" t="s">
        <v>106</v>
      </c>
      <c r="F34" s="31" t="n">
        <f aca="false">'Saúde, educação e previdência'!F8</f>
        <v>100.191</v>
      </c>
      <c r="G34" s="31" t="n">
        <f aca="false">'Saúde, educação e previdência'!G8</f>
        <v>114.182</v>
      </c>
      <c r="H34" s="31" t="n">
        <f aca="false">'Saúde, educação e previdência'!H8</f>
        <v>136.85</v>
      </c>
      <c r="I34" s="31" t="n">
        <f aca="false">'Saúde, educação e previdência'!I8</f>
        <v>234.28</v>
      </c>
      <c r="J34" s="32" t="n">
        <f aca="false">IFERROR(F34*FATOR_2016,"n.d.")</f>
        <v>155.316085262893</v>
      </c>
      <c r="K34" s="32" t="n">
        <f aca="false">IFERROR(G34*FATOR_2019,"n.d.")</f>
        <v>158.887732490015</v>
      </c>
      <c r="L34" s="32" t="n">
        <f aca="false">IFERROR(H34*FATOR_2022,"n.d.")</f>
        <v>156.49152799853</v>
      </c>
      <c r="M34" s="33" t="n">
        <f aca="false">IFERROR(I34/G34-1,"n.d.")</f>
        <v>1.05181201940761</v>
      </c>
      <c r="N34" s="33" t="n">
        <f aca="false">IFERROR(I34/J34-1,"n.d.")</f>
        <v>0.508407835566094</v>
      </c>
      <c r="O34" s="33" t="n">
        <f aca="false">IFERROR(I34/K34-1,"n.d.")</f>
        <v>0.474500241953692</v>
      </c>
      <c r="P34" s="33" t="n">
        <f aca="false">IFERROR(I34/L34-1,"n.d.")</f>
        <v>0.497077848215537</v>
      </c>
      <c r="Q34" s="33" t="n">
        <f aca="false">IFERROR(F34/PIB_2016,"n.d.")</f>
        <v>0.0159811411974523</v>
      </c>
      <c r="R34" s="33" t="n">
        <f aca="false">IFERROR(G34/PIB_2019,"n.d.")</f>
        <v>0.015452696670285</v>
      </c>
      <c r="S34" s="33" t="n">
        <f aca="false">IFERROR(H34/PIB_2022,"n.d.")</f>
        <v>0.0135768252868445</v>
      </c>
      <c r="T34" s="33" t="n">
        <f aca="false">IFERROR(I34/PIB_2025,"n.d.")</f>
        <v>0.0183913950753955</v>
      </c>
      <c r="U34" s="30" t="s">
        <v>242</v>
      </c>
      <c r="V34" s="30" t="s">
        <v>242</v>
      </c>
      <c r="W34" s="30" t="s">
        <v>242</v>
      </c>
      <c r="X34" s="30" t="s">
        <v>242</v>
      </c>
      <c r="Y34" s="30" t="s">
        <v>108</v>
      </c>
      <c r="Z34" s="30" t="s">
        <v>243</v>
      </c>
    </row>
    <row r="35" customFormat="false" ht="22.35" hidden="false" customHeight="false" outlineLevel="0" collapsed="false">
      <c r="A35" s="29" t="s">
        <v>244</v>
      </c>
      <c r="B35" s="30" t="s">
        <v>245</v>
      </c>
      <c r="C35" s="30" t="s">
        <v>246</v>
      </c>
      <c r="D35" s="30" t="s">
        <v>140</v>
      </c>
      <c r="E35" s="29" t="s">
        <v>106</v>
      </c>
      <c r="F35" s="31" t="n">
        <f aca="false">'Saúde, educação e previdência'!F9</f>
        <v>91.627</v>
      </c>
      <c r="G35" s="31" t="n">
        <f aca="false">'Saúde, educação e previdência'!G9</f>
        <v>103.03</v>
      </c>
      <c r="H35" s="31" t="n">
        <f aca="false">'Saúde, educação e previdência'!H9</f>
        <v>112.505</v>
      </c>
      <c r="I35" s="31" t="n">
        <f aca="false">'Saúde, educação e previdência'!I9</f>
        <v>163.1</v>
      </c>
      <c r="J35" s="32" t="n">
        <f aca="false">IFERROR(F35*FATOR_2016,"n.d.")</f>
        <v>142.040172713948</v>
      </c>
      <c r="K35" s="32" t="n">
        <f aca="false">IFERROR(G35*FATOR_2019,"n.d.")</f>
        <v>143.369384652977</v>
      </c>
      <c r="L35" s="32" t="n">
        <f aca="false">IFERROR(H35*FATOR_2022,"n.d.")</f>
        <v>128.652388436058</v>
      </c>
      <c r="M35" s="33" t="n">
        <f aca="false">IFERROR(I35/G35-1,"n.d.")</f>
        <v>0.583034067747258</v>
      </c>
      <c r="N35" s="33" t="n">
        <f aca="false">IFERROR(I35/J35-1,"n.d.")</f>
        <v>0.148266697256588</v>
      </c>
      <c r="O35" s="33" t="n">
        <f aca="false">IFERROR(I35/K35-1,"n.d.")</f>
        <v>0.13762084140056</v>
      </c>
      <c r="P35" s="33" t="n">
        <f aca="false">IFERROR(I35/L35-1,"n.d.")</f>
        <v>0.267757264227261</v>
      </c>
      <c r="Q35" s="33" t="n">
        <f aca="false">IFERROR(F35/PIB_2016,"n.d.")</f>
        <v>0.0146151253555605</v>
      </c>
      <c r="R35" s="33" t="n">
        <f aca="false">IFERROR(G35/PIB_2019,"n.d.")</f>
        <v>0.0139434528904684</v>
      </c>
      <c r="S35" s="33" t="n">
        <f aca="false">IFERROR(H35/PIB_2022,"n.d.")</f>
        <v>0.0111615690821808</v>
      </c>
      <c r="T35" s="33" t="n">
        <f aca="false">IFERROR(I35/PIB_2025,"n.d.")</f>
        <v>0.0128036389653278</v>
      </c>
      <c r="U35" s="30" t="s">
        <v>235</v>
      </c>
      <c r="V35" s="30" t="s">
        <v>235</v>
      </c>
      <c r="W35" s="30" t="s">
        <v>235</v>
      </c>
      <c r="X35" s="30" t="s">
        <v>235</v>
      </c>
      <c r="Y35" s="30" t="s">
        <v>108</v>
      </c>
      <c r="Z35" s="30" t="s">
        <v>224</v>
      </c>
    </row>
    <row r="36" customFormat="false" ht="15" hidden="false" customHeight="false" outlineLevel="0" collapsed="false">
      <c r="A36" s="29" t="s">
        <v>247</v>
      </c>
      <c r="B36" s="30" t="s">
        <v>248</v>
      </c>
      <c r="C36" s="30" t="s">
        <v>249</v>
      </c>
      <c r="D36" s="30" t="s">
        <v>140</v>
      </c>
      <c r="E36" s="29" t="s">
        <v>106</v>
      </c>
      <c r="F36" s="31" t="n">
        <f aca="false">'Saúde, educação e previdência'!F11</f>
        <v>94.546</v>
      </c>
      <c r="G36" s="31" t="n">
        <f aca="false">'Saúde, educação e previdência'!G11</f>
        <v>101.3</v>
      </c>
      <c r="H36" s="31" t="n">
        <f aca="false">'Saúde, educação e previdência'!H11</f>
        <v>117.753</v>
      </c>
      <c r="I36" s="31" t="n">
        <f aca="false">'Saúde, educação e previdência'!I11</f>
        <v>176.01</v>
      </c>
      <c r="J36" s="32" t="n">
        <f aca="false">IFERROR(F36*FATOR_2016,"n.d.")</f>
        <v>146.565206428377</v>
      </c>
      <c r="K36" s="32" t="n">
        <f aca="false">IFERROR(G36*FATOR_2019,"n.d.")</f>
        <v>140.962036934355</v>
      </c>
      <c r="L36" s="32" t="n">
        <f aca="false">IFERROR(H36*FATOR_2022,"n.d.")</f>
        <v>134.653612688424</v>
      </c>
      <c r="M36" s="33" t="n">
        <f aca="false">IFERROR(I36/G36-1,"n.d.")</f>
        <v>0.73751233958539</v>
      </c>
      <c r="N36" s="33" t="n">
        <f aca="false">IFERROR(I36/J36-1,"n.d.")</f>
        <v>0.200898932899275</v>
      </c>
      <c r="O36" s="33" t="n">
        <f aca="false">IFERROR(I36/K36-1,"n.d.")</f>
        <v>0.248634056572034</v>
      </c>
      <c r="P36" s="33" t="n">
        <f aca="false">IFERROR(I36/L36-1,"n.d.")</f>
        <v>0.307131657932347</v>
      </c>
      <c r="Q36" s="33" t="n">
        <f aca="false">IFERROR(F36/PIB_2016,"n.d.")</f>
        <v>0.0150807255707032</v>
      </c>
      <c r="R36" s="33" t="n">
        <f aca="false">IFERROR(G36/PIB_2019,"n.d.")</f>
        <v>0.0137093252237645</v>
      </c>
      <c r="S36" s="33" t="n">
        <f aca="false">IFERROR(H36/PIB_2022,"n.d.")</f>
        <v>0.0116822207380475</v>
      </c>
      <c r="T36" s="33" t="n">
        <f aca="false">IFERROR(I36/PIB_2025,"n.d.")</f>
        <v>0.0138170968380585</v>
      </c>
      <c r="U36" s="30" t="s">
        <v>235</v>
      </c>
      <c r="V36" s="30" t="s">
        <v>235</v>
      </c>
      <c r="W36" s="30" t="s">
        <v>235</v>
      </c>
      <c r="X36" s="30" t="s">
        <v>235</v>
      </c>
      <c r="Y36" s="30" t="s">
        <v>108</v>
      </c>
      <c r="Z36" s="30" t="s">
        <v>113</v>
      </c>
    </row>
    <row r="37" customFormat="false" ht="32.8" hidden="false" customHeight="false" outlineLevel="0" collapsed="false">
      <c r="A37" s="29" t="s">
        <v>250</v>
      </c>
      <c r="B37" s="30" t="s">
        <v>251</v>
      </c>
      <c r="C37" s="30" t="s">
        <v>252</v>
      </c>
      <c r="D37" s="30" t="s">
        <v>140</v>
      </c>
      <c r="E37" s="29" t="s">
        <v>106</v>
      </c>
      <c r="F37" s="31" t="n">
        <f aca="false">'Saúde, educação e previdência'!F13</f>
        <v>95.184</v>
      </c>
      <c r="G37" s="31" t="n">
        <f aca="false">'Saúde, educação e previdência'!G13</f>
        <v>94.474</v>
      </c>
      <c r="H37" s="31" t="n">
        <f aca="false">'Saúde, educação e previdência'!H13</f>
        <v>109.778</v>
      </c>
      <c r="I37" s="31" t="n">
        <f aca="false">'Saúde, educação e previdência'!I13</f>
        <v>174.587</v>
      </c>
      <c r="J37" s="32" t="n">
        <f aca="false">IFERROR(F37*FATOR_2016,"n.d.")</f>
        <v>147.554234009674</v>
      </c>
      <c r="K37" s="32" t="n">
        <f aca="false">IFERROR(G37*FATOR_2019,"n.d.")</f>
        <v>131.463449924346</v>
      </c>
      <c r="L37" s="32" t="n">
        <f aca="false">IFERROR(H37*FATOR_2022,"n.d.")</f>
        <v>125.533993135715</v>
      </c>
      <c r="M37" s="33" t="n">
        <f aca="false">IFERROR(I37/G37-1,"n.d.")</f>
        <v>0.84798992315346</v>
      </c>
      <c r="N37" s="33" t="n">
        <f aca="false">IFERROR(I37/J37-1,"n.d.")</f>
        <v>0.183205627217405</v>
      </c>
      <c r="O37" s="33" t="n">
        <f aca="false">IFERROR(I37/K37-1,"n.d.")</f>
        <v>0.328026916230108</v>
      </c>
      <c r="P37" s="33" t="n">
        <f aca="false">IFERROR(I37/L37-1,"n.d.")</f>
        <v>0.390754771986373</v>
      </c>
      <c r="Q37" s="33" t="n">
        <f aca="false">IFERROR(F37/PIB_2016,"n.d.")</f>
        <v>0.0151824908798026</v>
      </c>
      <c r="R37" s="33" t="n">
        <f aca="false">IFERROR(G37/PIB_2019,"n.d.")</f>
        <v>0.0127855359446192</v>
      </c>
      <c r="S37" s="33" t="n">
        <f aca="false">IFERROR(H37/PIB_2022,"n.d.")</f>
        <v>0.0108910246718248</v>
      </c>
      <c r="T37" s="33" t="n">
        <f aca="false">IFERROR(I37/PIB_2025,"n.d.")</f>
        <v>0.0137053888169202</v>
      </c>
      <c r="U37" s="30" t="s">
        <v>242</v>
      </c>
      <c r="V37" s="30" t="s">
        <v>242</v>
      </c>
      <c r="W37" s="30" t="s">
        <v>242</v>
      </c>
      <c r="X37" s="30" t="s">
        <v>242</v>
      </c>
      <c r="Y37" s="30" t="s">
        <v>108</v>
      </c>
      <c r="Z37" s="30" t="s">
        <v>243</v>
      </c>
    </row>
    <row r="38" customFormat="false" ht="22.35" hidden="false" customHeight="false" outlineLevel="0" collapsed="false">
      <c r="A38" s="29" t="s">
        <v>253</v>
      </c>
      <c r="B38" s="30" t="s">
        <v>254</v>
      </c>
      <c r="C38" s="30" t="s">
        <v>255</v>
      </c>
      <c r="D38" s="30" t="s">
        <v>140</v>
      </c>
      <c r="E38" s="29" t="s">
        <v>106</v>
      </c>
      <c r="F38" s="31" t="n">
        <f aca="false">'Segurança e polít. afirmativas'!F4</f>
        <v>7.032</v>
      </c>
      <c r="G38" s="31" t="n">
        <f aca="false">'Segurança e polít. afirmativas'!G4</f>
        <v>10.37</v>
      </c>
      <c r="H38" s="31" t="n">
        <f aca="false">'Segurança e polít. afirmativas'!H4</f>
        <v>11.607</v>
      </c>
      <c r="I38" s="31" t="n">
        <f aca="false">'Segurança e polít. afirmativas'!I4</f>
        <v>15.62</v>
      </c>
      <c r="J38" s="32" t="n">
        <f aca="false">IFERROR(F38*FATOR_2016,"n.d.")</f>
        <v>10.9010061938564</v>
      </c>
      <c r="K38" s="32" t="n">
        <f aca="false">IFERROR(G38*FATOR_2019,"n.d.")</f>
        <v>14.4301710070016</v>
      </c>
      <c r="L38" s="32" t="n">
        <f aca="false">IFERROR(H38*FATOR_2022,"n.d.")</f>
        <v>13.2729058493163</v>
      </c>
      <c r="M38" s="33" t="n">
        <f aca="false">IFERROR(I38/G38-1,"n.d.")</f>
        <v>0.506268081002893</v>
      </c>
      <c r="N38" s="33" t="n">
        <f aca="false">IFERROR(I38/J38-1,"n.d.")</f>
        <v>0.432895250422217</v>
      </c>
      <c r="O38" s="33" t="n">
        <f aca="false">IFERROR(I38/K38-1,"n.d.")</f>
        <v>0.0824542545213873</v>
      </c>
      <c r="P38" s="33" t="n">
        <f aca="false">IFERROR(I38/L38-1,"n.d.")</f>
        <v>0.176833481479463</v>
      </c>
      <c r="Q38" s="33" t="n">
        <f aca="false">IFERROR(F38/PIB_2016,"n.d.")</f>
        <v>0.00112165149465006</v>
      </c>
      <c r="R38" s="33" t="n">
        <f aca="false">IFERROR(G38/PIB_2019,"n.d.")</f>
        <v>0.00140341266110995</v>
      </c>
      <c r="S38" s="33" t="n">
        <f aca="false">IFERROR(H38/PIB_2022,"n.d.")</f>
        <v>0.00115152510854516</v>
      </c>
      <c r="T38" s="33" t="n">
        <f aca="false">IFERROR(I38/PIB_2025,"n.d.")</f>
        <v>0.00122619767405531</v>
      </c>
      <c r="U38" s="30" t="s">
        <v>235</v>
      </c>
      <c r="V38" s="30" t="s">
        <v>235</v>
      </c>
      <c r="W38" s="30" t="s">
        <v>235</v>
      </c>
      <c r="X38" s="30" t="s">
        <v>235</v>
      </c>
      <c r="Y38" s="30" t="s">
        <v>108</v>
      </c>
      <c r="Z38" s="30" t="s">
        <v>224</v>
      </c>
    </row>
    <row r="39" customFormat="false" ht="22.35" hidden="false" customHeight="false" outlineLevel="0" collapsed="false">
      <c r="A39" s="29" t="s">
        <v>256</v>
      </c>
      <c r="B39" s="30" t="s">
        <v>257</v>
      </c>
      <c r="C39" s="30" t="s">
        <v>258</v>
      </c>
      <c r="D39" s="30" t="s">
        <v>140</v>
      </c>
      <c r="E39" s="29" t="s">
        <v>106</v>
      </c>
      <c r="F39" s="31" t="n">
        <f aca="false">'Segurança e polít. afirmativas'!F6</f>
        <v>8.816</v>
      </c>
      <c r="G39" s="31" t="n">
        <f aca="false">'Segurança e polít. afirmativas'!G6</f>
        <v>10.23</v>
      </c>
      <c r="H39" s="31" t="n">
        <f aca="false">'Segurança e polít. afirmativas'!H6</f>
        <v>13.057</v>
      </c>
      <c r="I39" s="31" t="n">
        <f aca="false">'Segurança e polít. afirmativas'!I6</f>
        <v>16.58</v>
      </c>
      <c r="J39" s="32" t="n">
        <f aca="false">IFERROR(F39*FATOR_2016,"n.d.")</f>
        <v>13.6665629415583</v>
      </c>
      <c r="K39" s="32" t="n">
        <f aca="false">IFERROR(G39*FATOR_2019,"n.d.")</f>
        <v>14.2353567407547</v>
      </c>
      <c r="L39" s="32" t="n">
        <f aca="false">IFERROR(H39*FATOR_2022,"n.d.")</f>
        <v>14.9310184952634</v>
      </c>
      <c r="M39" s="33" t="n">
        <f aca="false">IFERROR(I39/G39-1,"n.d.")</f>
        <v>0.620723362658846</v>
      </c>
      <c r="N39" s="33" t="n">
        <f aca="false">IFERROR(I39/J39-1,"n.d.")</f>
        <v>0.213179939308829</v>
      </c>
      <c r="O39" s="33" t="n">
        <f aca="false">IFERROR(I39/K39-1,"n.d.")</f>
        <v>0.164705620094002</v>
      </c>
      <c r="P39" s="33" t="n">
        <f aca="false">IFERROR(I39/L39-1,"n.d.")</f>
        <v>0.110439988086525</v>
      </c>
      <c r="Q39" s="33" t="n">
        <f aca="false">IFERROR(F39/PIB_2016,"n.d.")</f>
        <v>0.00140621154391851</v>
      </c>
      <c r="R39" s="33" t="n">
        <f aca="false">IFERROR(G39/PIB_2019,"n.d.")</f>
        <v>0.00138446591351541</v>
      </c>
      <c r="S39" s="33" t="n">
        <f aca="false">IFERROR(H39/PIB_2022,"n.d.")</f>
        <v>0.00129537893876748</v>
      </c>
      <c r="T39" s="33" t="n">
        <f aca="false">IFERROR(I39/PIB_2025,"n.d.")</f>
        <v>0.00130155937489353</v>
      </c>
      <c r="U39" s="30" t="s">
        <v>235</v>
      </c>
      <c r="V39" s="30" t="s">
        <v>235</v>
      </c>
      <c r="W39" s="30" t="s">
        <v>235</v>
      </c>
      <c r="X39" s="30" t="s">
        <v>235</v>
      </c>
      <c r="Y39" s="30" t="s">
        <v>108</v>
      </c>
      <c r="Z39" s="30" t="s">
        <v>113</v>
      </c>
    </row>
    <row r="40" customFormat="false" ht="32.8" hidden="false" customHeight="false" outlineLevel="0" collapsed="false">
      <c r="A40" s="29" t="s">
        <v>259</v>
      </c>
      <c r="B40" s="30" t="s">
        <v>260</v>
      </c>
      <c r="C40" s="30" t="s">
        <v>261</v>
      </c>
      <c r="D40" s="30" t="s">
        <v>140</v>
      </c>
      <c r="E40" s="29" t="s">
        <v>106</v>
      </c>
      <c r="F40" s="31" t="n">
        <f aca="false">'Segurança e polít. afirmativas'!F8</f>
        <v>8.423</v>
      </c>
      <c r="G40" s="31" t="n">
        <f aca="false">'Segurança e polít. afirmativas'!G8</f>
        <v>9.018</v>
      </c>
      <c r="H40" s="31" t="n">
        <f aca="false">'Segurança e polít. afirmativas'!H8</f>
        <v>11.729</v>
      </c>
      <c r="I40" s="31" t="n">
        <f aca="false">'Segurança e polít. afirmativas'!I8</f>
        <v>15.41</v>
      </c>
      <c r="J40" s="32" t="n">
        <f aca="false">IFERROR(F40*FATOR_2016,"n.d.")</f>
        <v>13.0573343530791</v>
      </c>
      <c r="K40" s="32" t="n">
        <f aca="false">IFERROR(G40*FATOR_2019,"n.d.")</f>
        <v>12.5488218072459</v>
      </c>
      <c r="L40" s="32" t="n">
        <f aca="false">IFERROR(H40*FATOR_2022,"n.d.")</f>
        <v>13.4124160167684</v>
      </c>
      <c r="M40" s="33" t="n">
        <f aca="false">IFERROR(I40/G40-1,"n.d.")</f>
        <v>0.70880461299623</v>
      </c>
      <c r="N40" s="33" t="n">
        <f aca="false">IFERROR(I40/J40-1,"n.d.")</f>
        <v>0.18017962803917</v>
      </c>
      <c r="O40" s="33" t="n">
        <f aca="false">IFERROR(I40/K40-1,"n.d.")</f>
        <v>0.228003731083503</v>
      </c>
      <c r="P40" s="33" t="n">
        <f aca="false">IFERROR(I40/L40-1,"n.d.")</f>
        <v>0.148935432716538</v>
      </c>
      <c r="Q40" s="33" t="n">
        <f aca="false">IFERROR(F40/PIB_2016,"n.d.")</f>
        <v>0.00134352538956733</v>
      </c>
      <c r="R40" s="33" t="n">
        <f aca="false">IFERROR(G40/PIB_2019,"n.d.")</f>
        <v>0.00122044121291123</v>
      </c>
      <c r="S40" s="33" t="n">
        <f aca="false">IFERROR(H40/PIB_2022,"n.d.")</f>
        <v>0.00116362867219145</v>
      </c>
      <c r="T40" s="33" t="n">
        <f aca="false">IFERROR(I40/PIB_2025,"n.d.")</f>
        <v>0.00120971230199694</v>
      </c>
      <c r="U40" s="30" t="s">
        <v>242</v>
      </c>
      <c r="V40" s="30" t="s">
        <v>242</v>
      </c>
      <c r="W40" s="30" t="s">
        <v>242</v>
      </c>
      <c r="X40" s="30" t="s">
        <v>242</v>
      </c>
      <c r="Y40" s="30" t="s">
        <v>108</v>
      </c>
      <c r="Z40" s="30" t="s">
        <v>243</v>
      </c>
    </row>
    <row r="41" customFormat="false" ht="22.35" hidden="false" customHeight="false" outlineLevel="0" collapsed="false">
      <c r="A41" s="29" t="s">
        <v>262</v>
      </c>
      <c r="B41" s="30" t="s">
        <v>263</v>
      </c>
      <c r="C41" s="30" t="s">
        <v>264</v>
      </c>
      <c r="D41" s="30" t="s">
        <v>140</v>
      </c>
      <c r="E41" s="29" t="s">
        <v>106</v>
      </c>
      <c r="F41" s="31" t="n">
        <f aca="false">'Saúde, educação e previdência'!F14</f>
        <v>570.877</v>
      </c>
      <c r="G41" s="31" t="n">
        <f aca="false">'Saúde, educação e previdência'!G14</f>
        <v>733.92</v>
      </c>
      <c r="H41" s="31" t="n">
        <f aca="false">'Saúde, educação e previdência'!H14</f>
        <v>882.003</v>
      </c>
      <c r="I41" s="31" t="n">
        <f aca="false">'Saúde, educação e previdência'!I14</f>
        <v>1085.59</v>
      </c>
      <c r="J41" s="32" t="n">
        <f aca="false">IFERROR(F41*FATOR_2016,"n.d.")</f>
        <v>884.973508664698</v>
      </c>
      <c r="K41" s="32" t="n">
        <f aca="false">IFERROR(G41*FATOR_2019,"n.d.")</f>
        <v>1021.27204488511</v>
      </c>
      <c r="L41" s="32" t="n">
        <f aca="false">IFERROR(H41*FATOR_2022,"n.d.")</f>
        <v>1008.59332969885</v>
      </c>
      <c r="M41" s="33" t="n">
        <f aca="false">IFERROR(I41/G41-1,"n.d.")</f>
        <v>0.479166666666667</v>
      </c>
      <c r="N41" s="33" t="n">
        <f aca="false">IFERROR(I41/J41-1,"n.d.")</f>
        <v>0.226692086679525</v>
      </c>
      <c r="O41" s="33" t="n">
        <f aca="false">IFERROR(I41/K41-1,"n.d.")</f>
        <v>0.0629782783510213</v>
      </c>
      <c r="P41" s="33" t="n">
        <f aca="false">IFERROR(I41/L41-1,"n.d.")</f>
        <v>0.0763406499269081</v>
      </c>
      <c r="Q41" s="33" t="n">
        <f aca="false">IFERROR(F41/PIB_2016,"n.d.")</f>
        <v>0.0910587372456406</v>
      </c>
      <c r="R41" s="33" t="n">
        <f aca="false">IFERROR(G41/PIB_2019,"n.d.")</f>
        <v>0.0993242642470407</v>
      </c>
      <c r="S41" s="33" t="n">
        <f aca="false">IFERROR(H41/PIB_2022,"n.d.")</f>
        <v>0.087503110219019</v>
      </c>
      <c r="T41" s="33" t="n">
        <f aca="false">IFERROR(I41/PIB_2025,"n.d.")</f>
        <v>0.0852207383468437</v>
      </c>
      <c r="U41" s="30" t="s">
        <v>235</v>
      </c>
      <c r="V41" s="30" t="s">
        <v>235</v>
      </c>
      <c r="W41" s="30" t="s">
        <v>235</v>
      </c>
      <c r="X41" s="30" t="s">
        <v>235</v>
      </c>
      <c r="Y41" s="30" t="s">
        <v>108</v>
      </c>
      <c r="Z41" s="30" t="s">
        <v>224</v>
      </c>
    </row>
    <row r="42" customFormat="false" ht="22.35" hidden="false" customHeight="false" outlineLevel="0" collapsed="false">
      <c r="A42" s="29" t="s">
        <v>265</v>
      </c>
      <c r="B42" s="30" t="s">
        <v>266</v>
      </c>
      <c r="C42" s="30" t="s">
        <v>267</v>
      </c>
      <c r="D42" s="30" t="s">
        <v>140</v>
      </c>
      <c r="E42" s="29" t="s">
        <v>106</v>
      </c>
      <c r="F42" s="31" t="n">
        <f aca="false">'Saúde, educação e previdência'!F16</f>
        <v>594.563</v>
      </c>
      <c r="G42" s="31" t="n">
        <f aca="false">'Saúde, educação e previdência'!G16</f>
        <v>726.13</v>
      </c>
      <c r="H42" s="31" t="n">
        <f aca="false">'Saúde, educação e previdência'!H16</f>
        <v>897.148</v>
      </c>
      <c r="I42" s="31" t="n">
        <f aca="false">'Saúde, educação e previdência'!I16</f>
        <v>1103.11</v>
      </c>
      <c r="J42" s="32" t="n">
        <f aca="false">IFERROR(F42*FATOR_2016,"n.d.")</f>
        <v>921.691545170342</v>
      </c>
      <c r="K42" s="32" t="n">
        <f aca="false">IFERROR(G42*FATOR_2019,"n.d.")</f>
        <v>1010.43202249894</v>
      </c>
      <c r="L42" s="32" t="n">
        <f aca="false">IFERROR(H42*FATOR_2022,"n.d.")</f>
        <v>1025.91203040427</v>
      </c>
      <c r="M42" s="33" t="n">
        <f aca="false">IFERROR(I42/G42-1,"n.d.")</f>
        <v>0.51916323523336</v>
      </c>
      <c r="N42" s="33" t="n">
        <f aca="false">IFERROR(I42/J42-1,"n.d.")</f>
        <v>0.196832070100122</v>
      </c>
      <c r="O42" s="33" t="n">
        <f aca="false">IFERROR(I42/K42-1,"n.d.")</f>
        <v>0.0917211404997353</v>
      </c>
      <c r="P42" s="33" t="n">
        <f aca="false">IFERROR(I42/L42-1,"n.d.")</f>
        <v>0.07524813756722</v>
      </c>
      <c r="Q42" s="33" t="n">
        <f aca="false">IFERROR(F42/PIB_2016,"n.d.")</f>
        <v>0.094836814222643</v>
      </c>
      <c r="R42" s="33" t="n">
        <f aca="false">IFERROR(G42/PIB_2019,"n.d.")</f>
        <v>0.0982700130773159</v>
      </c>
      <c r="S42" s="33" t="n">
        <f aca="false">IFERROR(H42/PIB_2022,"n.d.")</f>
        <v>0.0890056386733066</v>
      </c>
      <c r="T42" s="33" t="n">
        <f aca="false">IFERROR(I42/PIB_2025,"n.d.")</f>
        <v>0.0865960893871414</v>
      </c>
      <c r="U42" s="30" t="s">
        <v>235</v>
      </c>
      <c r="V42" s="30" t="s">
        <v>235</v>
      </c>
      <c r="W42" s="30" t="s">
        <v>235</v>
      </c>
      <c r="X42" s="30" t="s">
        <v>235</v>
      </c>
      <c r="Y42" s="30" t="s">
        <v>108</v>
      </c>
      <c r="Z42" s="30" t="s">
        <v>113</v>
      </c>
    </row>
    <row r="43" customFormat="false" ht="53.7" hidden="false" customHeight="false" outlineLevel="0" collapsed="false">
      <c r="A43" s="29" t="s">
        <v>268</v>
      </c>
      <c r="B43" s="30" t="s">
        <v>269</v>
      </c>
      <c r="C43" s="30" t="s">
        <v>270</v>
      </c>
      <c r="D43" s="30" t="s">
        <v>140</v>
      </c>
      <c r="E43" s="29" t="s">
        <v>106</v>
      </c>
      <c r="F43" s="31" t="n">
        <f aca="false">'Saúde, educação e previdência'!F18</f>
        <v>568.387</v>
      </c>
      <c r="G43" s="31" t="n">
        <f aca="false">'Saúde, educação e previdência'!G18</f>
        <v>668.956</v>
      </c>
      <c r="H43" s="31" t="n">
        <f aca="false">'Saúde, educação e previdência'!H18</f>
        <v>824.009</v>
      </c>
      <c r="I43" s="31" t="n">
        <f aca="false">'Saúde, educação e previdência'!I18</f>
        <v>1126.374</v>
      </c>
      <c r="J43" s="32" t="n">
        <f aca="false">IFERROR(F43*FATOR_2016,"n.d.")</f>
        <v>881.113510737693</v>
      </c>
      <c r="K43" s="32" t="n">
        <f aca="false">IFERROR(G43*FATOR_2019,"n.d.")</f>
        <v>930.872659224661</v>
      </c>
      <c r="L43" s="32" t="n">
        <f aca="false">IFERROR(H43*FATOR_2022,"n.d.")</f>
        <v>942.275685016736</v>
      </c>
      <c r="M43" s="33" t="n">
        <f aca="false">IFERROR(I43/G43-1,"n.d.")</f>
        <v>0.683778903246253</v>
      </c>
      <c r="N43" s="33" t="n">
        <f aca="false">IFERROR(I43/J43-1,"n.d.")</f>
        <v>0.278352886743239</v>
      </c>
      <c r="O43" s="33" t="n">
        <f aca="false">IFERROR(I43/K43-1,"n.d.")</f>
        <v>0.210019425146911</v>
      </c>
      <c r="P43" s="33" t="n">
        <f aca="false">IFERROR(I43/L43-1,"n.d.")</f>
        <v>0.195376276720962</v>
      </c>
      <c r="Q43" s="33" t="n">
        <f aca="false">IFERROR(F43/PIB_2016,"n.d.")</f>
        <v>0.0906615654279957</v>
      </c>
      <c r="R43" s="33" t="n">
        <f aca="false">IFERROR(G43/PIB_2019,"n.d.")</f>
        <v>0.090532432027528</v>
      </c>
      <c r="S43" s="33" t="n">
        <f aca="false">IFERROR(H43/PIB_2022,"n.d.")</f>
        <v>0.0817495522673546</v>
      </c>
      <c r="T43" s="33" t="n">
        <f aca="false">IFERROR(I43/PIB_2025,"n.d.")</f>
        <v>0.0884223546041211</v>
      </c>
      <c r="U43" s="30" t="s">
        <v>242</v>
      </c>
      <c r="V43" s="30" t="s">
        <v>242</v>
      </c>
      <c r="W43" s="30" t="s">
        <v>242</v>
      </c>
      <c r="X43" s="30" t="s">
        <v>242</v>
      </c>
      <c r="Y43" s="30" t="s">
        <v>108</v>
      </c>
      <c r="Z43" s="30" t="s">
        <v>271</v>
      </c>
    </row>
    <row r="44" customFormat="false" ht="43.25" hidden="false" customHeight="false" outlineLevel="0" collapsed="false">
      <c r="A44" s="41" t="s">
        <v>272</v>
      </c>
      <c r="B44" s="42" t="s">
        <v>273</v>
      </c>
      <c r="C44" s="42" t="s">
        <v>274</v>
      </c>
      <c r="D44" s="42" t="s">
        <v>140</v>
      </c>
      <c r="E44" s="41" t="s">
        <v>275</v>
      </c>
      <c r="F44" s="43" t="n">
        <f aca="false">'Segurança e polít. afirmativas'!F9</f>
        <v>39.609</v>
      </c>
      <c r="G44" s="43" t="n">
        <f aca="false">'Segurança e polít. afirmativas'!G9</f>
        <v>12.908</v>
      </c>
      <c r="H44" s="46" t="str">
        <f aca="false">'Segurança e polít. afirmativas'!H9</f>
        <v>não localizado após busca</v>
      </c>
      <c r="I44" s="43" t="n">
        <f aca="false">'Segurança e polít. afirmativas'!I9</f>
        <v>78.02</v>
      </c>
      <c r="J44" s="44" t="n">
        <f aca="false">IFERROR(F44*FATOR_2016,"n.d.")</f>
        <v>61.4018706388592</v>
      </c>
      <c r="K44" s="44" t="n">
        <f aca="false">IFERROR(G44*FATOR_2019,"n.d.")</f>
        <v>17.961875347963</v>
      </c>
      <c r="L44" s="44" t="str">
        <f aca="false">IFERROR(H44*FATOR_2022,"n.d.")</f>
        <v>n.d.</v>
      </c>
      <c r="M44" s="45" t="n">
        <f aca="false">IFERROR(I44/G44-1,"n.d.")</f>
        <v>5.04431360396653</v>
      </c>
      <c r="N44" s="45" t="n">
        <f aca="false">IFERROR(I44/J44-1,"n.d.")</f>
        <v>0.270645327059852</v>
      </c>
      <c r="O44" s="45" t="n">
        <f aca="false">IFERROR(I44/K44-1,"n.d.")</f>
        <v>3.34364444071527</v>
      </c>
      <c r="P44" s="45" t="str">
        <f aca="false">IFERROR(I44/L44-1,"n.d.")</f>
        <v>n.d.</v>
      </c>
      <c r="Q44" s="45" t="n">
        <f aca="false">IFERROR(F44/1000/PIB_2016,"n.d.")</f>
        <v>6.31790302212662E-006</v>
      </c>
      <c r="R44" s="45" t="n">
        <f aca="false">IFERROR(G44/1000/PIB_2019,"n.d.")</f>
        <v>1.7468901282167E-006</v>
      </c>
      <c r="S44" s="45" t="str">
        <f aca="false">IFERROR(H44/1000/PIB_2022,"n.d.")</f>
        <v>n.d.</v>
      </c>
      <c r="T44" s="45" t="n">
        <f aca="false">IFERROR(I44/1000/PIB_2025,"n.d.")</f>
        <v>6.12470822854001E-006</v>
      </c>
      <c r="U44" s="42" t="s">
        <v>276</v>
      </c>
      <c r="V44" s="42" t="s">
        <v>276</v>
      </c>
      <c r="W44" s="42" t="s">
        <v>277</v>
      </c>
      <c r="X44" s="42" t="s">
        <v>278</v>
      </c>
      <c r="Y44" s="42" t="s">
        <v>108</v>
      </c>
      <c r="Z44" s="42" t="s">
        <v>279</v>
      </c>
    </row>
    <row r="45" customFormat="false" ht="22.35" hidden="false" customHeight="false" outlineLevel="0" collapsed="false">
      <c r="A45" s="41" t="s">
        <v>280</v>
      </c>
      <c r="B45" s="42" t="s">
        <v>281</v>
      </c>
      <c r="C45" s="42" t="s">
        <v>282</v>
      </c>
      <c r="D45" s="42" t="s">
        <v>140</v>
      </c>
      <c r="E45" s="41" t="s">
        <v>275</v>
      </c>
      <c r="F45" s="43" t="n">
        <f aca="false">'Segurança e polít. afirmativas'!F10</f>
        <v>20.269</v>
      </c>
      <c r="G45" s="43" t="n">
        <f aca="false">'Segurança e polít. afirmativas'!G10</f>
        <v>12.458</v>
      </c>
      <c r="H45" s="46" t="str">
        <f aca="false">'Segurança e polít. afirmativas'!H10</f>
        <v>não localizado após busca</v>
      </c>
      <c r="I45" s="43" t="n">
        <f aca="false">'Segurança e polít. afirmativas'!I10</f>
        <v>77.486</v>
      </c>
      <c r="J45" s="44" t="n">
        <f aca="false">IFERROR(F45*FATOR_2016,"n.d.")</f>
        <v>31.4210032058128</v>
      </c>
      <c r="K45" s="44" t="n">
        <f aca="false">IFERROR(G45*FATOR_2019,"n.d.")</f>
        <v>17.3356866350266</v>
      </c>
      <c r="L45" s="44" t="str">
        <f aca="false">IFERROR(H45*FATOR_2022,"n.d.")</f>
        <v>n.d.</v>
      </c>
      <c r="M45" s="45" t="n">
        <f aca="false">IFERROR(I45/G45-1,"n.d.")</f>
        <v>5.21977845561085</v>
      </c>
      <c r="N45" s="45" t="n">
        <f aca="false">IFERROR(I45/J45-1,"n.d.")</f>
        <v>1.4660574804838</v>
      </c>
      <c r="O45" s="45" t="n">
        <f aca="false">IFERROR(I45/K45-1,"n.d.")</f>
        <v>3.46973930893746</v>
      </c>
      <c r="P45" s="45" t="str">
        <f aca="false">IFERROR(I45/L45-1,"n.d.")</f>
        <v>n.d.</v>
      </c>
      <c r="Q45" s="45" t="n">
        <f aca="false">IFERROR(F45/1000/PIB_2016,"n.d.")</f>
        <v>3.23304239833079E-006</v>
      </c>
      <c r="R45" s="45" t="n">
        <f aca="false">IFERROR(G45/1000/PIB_2019,"n.d.")</f>
        <v>1.68598986809139E-006</v>
      </c>
      <c r="S45" s="45" t="str">
        <f aca="false">IFERROR(H45/1000/PIB_2022,"n.d.")</f>
        <v>n.d.</v>
      </c>
      <c r="T45" s="45" t="n">
        <f aca="false">IFERROR(I45/1000/PIB_2025,"n.d.")</f>
        <v>6.08278828244875E-006</v>
      </c>
      <c r="U45" s="42" t="s">
        <v>283</v>
      </c>
      <c r="V45" s="42" t="s">
        <v>283</v>
      </c>
      <c r="W45" s="42" t="s">
        <v>277</v>
      </c>
      <c r="X45" s="42" t="s">
        <v>283</v>
      </c>
      <c r="Y45" s="42" t="s">
        <v>108</v>
      </c>
      <c r="Z45" s="42" t="s">
        <v>284</v>
      </c>
    </row>
    <row r="46" customFormat="false" ht="22.35" hidden="false" customHeight="false" outlineLevel="0" collapsed="false">
      <c r="A46" s="41" t="s">
        <v>285</v>
      </c>
      <c r="B46" s="42" t="s">
        <v>286</v>
      </c>
      <c r="C46" s="42" t="s">
        <v>287</v>
      </c>
      <c r="D46" s="42" t="s">
        <v>140</v>
      </c>
      <c r="E46" s="41" t="s">
        <v>275</v>
      </c>
      <c r="F46" s="43" t="n">
        <f aca="false">'Segurança e polít. afirmativas'!F12</f>
        <v>8.298</v>
      </c>
      <c r="G46" s="43" t="n">
        <f aca="false">'Segurança e polít. afirmativas'!G12</f>
        <v>5.88</v>
      </c>
      <c r="H46" s="46" t="str">
        <f aca="false">'Segurança e polít. afirmativas'!H12</f>
        <v>não localizado após busca</v>
      </c>
      <c r="I46" s="43" t="n">
        <f aca="false">'Segurança e polít. afirmativas'!I12</f>
        <v>58.026</v>
      </c>
      <c r="J46" s="44" t="n">
        <f aca="false">IFERROR(F46*FATOR_2016,"n.d.")</f>
        <v>12.8635593567435</v>
      </c>
      <c r="K46" s="44" t="n">
        <f aca="false">IFERROR(G46*FATOR_2019,"n.d.")</f>
        <v>8.18219918236925</v>
      </c>
      <c r="L46" s="44" t="str">
        <f aca="false">IFERROR(H46*FATOR_2022,"n.d.")</f>
        <v>n.d.</v>
      </c>
      <c r="M46" s="45" t="n">
        <f aca="false">IFERROR(I46/G46-1,"n.d.")</f>
        <v>8.86836734693878</v>
      </c>
      <c r="N46" s="45" t="n">
        <f aca="false">IFERROR(I46/J46-1,"n.d.")</f>
        <v>3.51088212762674</v>
      </c>
      <c r="O46" s="45" t="n">
        <f aca="false">IFERROR(I46/K46-1,"n.d.")</f>
        <v>6.0917364276627</v>
      </c>
      <c r="P46" s="45" t="str">
        <f aca="false">IFERROR(I46/L46-1,"n.d.")</f>
        <v>n.d.</v>
      </c>
      <c r="Q46" s="45" t="n">
        <f aca="false">IFERROR(F46/1000/PIB_2016,"n.d.")</f>
        <v>1.32358704530805E-006</v>
      </c>
      <c r="R46" s="45" t="n">
        <f aca="false">IFERROR(G46/1000/PIB_2019,"n.d.")</f>
        <v>7.95763398970731E-007</v>
      </c>
      <c r="S46" s="45" t="str">
        <f aca="false">IFERROR(H46/1000/PIB_2022,"n.d.")</f>
        <v>n.d.</v>
      </c>
      <c r="T46" s="45" t="n">
        <f aca="false">IFERROR(I46/1000/PIB_2025,"n.d.")</f>
        <v>4.55514380504054E-006</v>
      </c>
      <c r="U46" s="42" t="s">
        <v>283</v>
      </c>
      <c r="V46" s="42" t="s">
        <v>283</v>
      </c>
      <c r="W46" s="42" t="s">
        <v>277</v>
      </c>
      <c r="X46" s="42" t="s">
        <v>283</v>
      </c>
      <c r="Y46" s="42" t="s">
        <v>108</v>
      </c>
      <c r="Z46" s="42" t="s">
        <v>288</v>
      </c>
    </row>
    <row r="47" customFormat="false" ht="32.8" hidden="false" customHeight="false" outlineLevel="0" collapsed="false">
      <c r="A47" s="29" t="s">
        <v>289</v>
      </c>
      <c r="B47" s="30" t="s">
        <v>290</v>
      </c>
      <c r="C47" s="30" t="s">
        <v>287</v>
      </c>
      <c r="D47" s="30" t="s">
        <v>140</v>
      </c>
      <c r="E47" s="29" t="s">
        <v>106</v>
      </c>
      <c r="F47" s="31" t="n">
        <f aca="false">'Políticas afirmativas e apoio'!F7</f>
        <v>27.49159</v>
      </c>
      <c r="G47" s="31" t="n">
        <f aca="false">'Políticas afirmativas e apoio'!G7</f>
        <v>32.48162</v>
      </c>
      <c r="H47" s="31" t="n">
        <f aca="false">'Políticas afirmativas e apoio'!H7</f>
        <v>113.02915</v>
      </c>
      <c r="I47" s="31" t="n">
        <f aca="false">'Políticas afirmativas e apoio'!I7</f>
        <v>171.82365</v>
      </c>
      <c r="J47" s="32" t="n">
        <f aca="false">IFERROR(F47*FATOR_2016,"n.d.")</f>
        <v>42.617462012082</v>
      </c>
      <c r="K47" s="32" t="n">
        <f aca="false">IFERROR(G47*FATOR_2019,"n.d.")</f>
        <v>45.1991640486443</v>
      </c>
      <c r="L47" s="32" t="n">
        <f aca="false">IFERROR(H47*FATOR_2022,"n.d.")</f>
        <v>129.251767569419</v>
      </c>
      <c r="M47" s="33" t="n">
        <f aca="false">IFERROR(I47/G47-1,"n.d.")</f>
        <v>4.28987316519312</v>
      </c>
      <c r="N47" s="33" t="n">
        <f aca="false">IFERROR(I47/J47-1,"n.d.")</f>
        <v>3.03176636730006</v>
      </c>
      <c r="O47" s="33" t="n">
        <f aca="false">IFERROR(I47/K47-1,"n.d.")</f>
        <v>2.80147849228096</v>
      </c>
      <c r="P47" s="33" t="n">
        <f aca="false">IFERROR(I47/L47-1,"n.d.")</f>
        <v>0.329371762035798</v>
      </c>
      <c r="Q47" s="33" t="n">
        <f aca="false">IFERROR(F47/PIB_2016,"n.d.")</f>
        <v>0.00438509428523987</v>
      </c>
      <c r="R47" s="33" t="n">
        <f aca="false">IFERROR(G47/PIB_2019,"n.d.")</f>
        <v>0.00439586468287002</v>
      </c>
      <c r="S47" s="33" t="n">
        <f aca="false">IFERROR(H47/PIB_2022,"n.d.")</f>
        <v>0.0112135697615677</v>
      </c>
      <c r="T47" s="33" t="n">
        <f aca="false">IFERROR(I47/PIB_2025,"n.d.")</f>
        <v>0.0134884609460751</v>
      </c>
      <c r="U47" s="30" t="s">
        <v>291</v>
      </c>
      <c r="V47" s="30" t="s">
        <v>291</v>
      </c>
      <c r="W47" s="30" t="s">
        <v>292</v>
      </c>
      <c r="X47" s="30" t="s">
        <v>291</v>
      </c>
      <c r="Y47" s="30" t="s">
        <v>108</v>
      </c>
      <c r="Z47" s="30" t="s">
        <v>293</v>
      </c>
    </row>
    <row r="48" customFormat="false" ht="22.35" hidden="false" customHeight="false" outlineLevel="0" collapsed="false">
      <c r="A48" s="29" t="s">
        <v>294</v>
      </c>
      <c r="B48" s="30" t="s">
        <v>295</v>
      </c>
      <c r="C48" s="30" t="s">
        <v>296</v>
      </c>
      <c r="D48" s="30" t="s">
        <v>153</v>
      </c>
      <c r="E48" s="29" t="s">
        <v>106</v>
      </c>
      <c r="F48" s="31" t="n">
        <f aca="false">'Políticas afirmativas e apoio'!F12</f>
        <v>48.99</v>
      </c>
      <c r="G48" s="31" t="n">
        <f aca="false">'Políticas afirmativas e apoio'!G12</f>
        <v>59.728</v>
      </c>
      <c r="H48" s="31" t="n">
        <f aca="false">'Políticas afirmativas e apoio'!H12</f>
        <v>78.827</v>
      </c>
      <c r="I48" s="31" t="n">
        <f aca="false">'Políticas afirmativas e apoio'!I12</f>
        <v>127.236</v>
      </c>
      <c r="J48" s="32" t="n">
        <f aca="false">IFERROR(F48*FATOR_2016,"n.d.")</f>
        <v>75.9442965638545</v>
      </c>
      <c r="K48" s="32" t="n">
        <f aca="false">IFERROR(G48*FATOR_2019,"n.d.")</f>
        <v>83.1133321028147</v>
      </c>
      <c r="L48" s="32" t="n">
        <f aca="false">IFERROR(H48*FATOR_2022,"n.d.")</f>
        <v>90.1407210635008</v>
      </c>
      <c r="M48" s="33" t="n">
        <f aca="false">IFERROR(I48/G48-1,"n.d.")</f>
        <v>1.13025716581838</v>
      </c>
      <c r="N48" s="33" t="n">
        <f aca="false">IFERROR(I48/J48-1,"n.d.")</f>
        <v>0.675385851958205</v>
      </c>
      <c r="O48" s="33" t="n">
        <f aca="false">IFERROR(I48/K48-1,"n.d.")</f>
        <v>0.530873528721044</v>
      </c>
      <c r="P48" s="33" t="n">
        <f aca="false">IFERROR(I48/L48-1,"n.d.")</f>
        <v>0.411526316839278</v>
      </c>
      <c r="Q48" s="33" t="n">
        <f aca="false">IFERROR(F48/PIB_2016,"n.d.")</f>
        <v>0.00781423588209707</v>
      </c>
      <c r="R48" s="33" t="n">
        <f aca="false">IFERROR(G48/PIB_2019,"n.d.")</f>
        <v>0.00808322385947684</v>
      </c>
      <c r="S48" s="33" t="n">
        <f aca="false">IFERROR(H48/PIB_2022,"n.d.")</f>
        <v>0.00782039025857577</v>
      </c>
      <c r="T48" s="33" t="n">
        <f aca="false">IFERROR(I48/PIB_2025,"n.d.")</f>
        <v>0.00998825142484641</v>
      </c>
      <c r="U48" s="30" t="s">
        <v>154</v>
      </c>
      <c r="V48" s="30" t="s">
        <v>154</v>
      </c>
      <c r="W48" s="30" t="s">
        <v>154</v>
      </c>
      <c r="X48" s="30" t="s">
        <v>154</v>
      </c>
      <c r="Y48" s="30" t="s">
        <v>108</v>
      </c>
      <c r="Z48" s="30" t="s">
        <v>297</v>
      </c>
    </row>
    <row r="49" customFormat="false" ht="22.35" hidden="false" customHeight="false" outlineLevel="0" collapsed="false">
      <c r="A49" s="29" t="s">
        <v>298</v>
      </c>
      <c r="B49" s="30" t="s">
        <v>299</v>
      </c>
      <c r="C49" s="30" t="s">
        <v>287</v>
      </c>
      <c r="D49" s="30" t="s">
        <v>140</v>
      </c>
      <c r="E49" s="29" t="s">
        <v>275</v>
      </c>
      <c r="F49" s="31" t="n">
        <f aca="false">'Políticas afirmativas e apoio'!F16</f>
        <v>810.1</v>
      </c>
      <c r="G49" s="31" t="n">
        <f aca="false">'Políticas afirmativas e apoio'!G16</f>
        <v>867.39</v>
      </c>
      <c r="H49" s="31" t="n">
        <f aca="false">'Políticas afirmativas e apoio'!H16</f>
        <v>818.34</v>
      </c>
      <c r="I49" s="31" t="n">
        <f aca="false">'Políticas afirmativas e apoio'!I16</f>
        <v>1242.07</v>
      </c>
      <c r="J49" s="32" t="n">
        <f aca="false">IFERROR(F49*FATOR_2016,"n.d.")</f>
        <v>1255.81699625186</v>
      </c>
      <c r="K49" s="32" t="n">
        <f aca="false">IFERROR(G49*FATOR_2019,"n.d.")</f>
        <v>1206.99961714205</v>
      </c>
      <c r="L49" s="32" t="n">
        <f aca="false">IFERROR(H49*FATOR_2022,"n.d.")</f>
        <v>935.793036334064</v>
      </c>
      <c r="M49" s="33" t="n">
        <f aca="false">IFERROR(I49/G49-1,"n.d.")</f>
        <v>0.431962554329656</v>
      </c>
      <c r="N49" s="33" t="n">
        <f aca="false">IFERROR(I49/J49-1,"n.d.")</f>
        <v>-0.0109466556774499</v>
      </c>
      <c r="O49" s="33" t="n">
        <f aca="false">IFERROR(I49/K49-1,"n.d.")</f>
        <v>0.0290558359421758</v>
      </c>
      <c r="P49" s="33" t="n">
        <f aca="false">IFERROR(I49/L49-1,"n.d.")</f>
        <v>0.327291347310902</v>
      </c>
      <c r="Q49" s="33" t="n">
        <f aca="false">IFERROR(F49/1000/PIB_2016,"n.d.")</f>
        <v>0.000129216421475543</v>
      </c>
      <c r="R49" s="33" t="n">
        <f aca="false">IFERROR(G49/1000/PIB_2019,"n.d.")</f>
        <v>0.000117387281400208</v>
      </c>
      <c r="S49" s="33" t="n">
        <f aca="false">IFERROR(H49/1000/PIB_2022,"n.d.")</f>
        <v>8.11871333959544E-005</v>
      </c>
      <c r="T49" s="33" t="n">
        <f aca="false">IFERROR(I49/1000/PIB_2025,"n.d.")</f>
        <v>9.75046955834746E-005</v>
      </c>
      <c r="U49" s="30" t="s">
        <v>300</v>
      </c>
      <c r="V49" s="30" t="s">
        <v>300</v>
      </c>
      <c r="W49" s="30" t="s">
        <v>300</v>
      </c>
      <c r="X49" s="30" t="s">
        <v>300</v>
      </c>
      <c r="Y49" s="30" t="s">
        <v>108</v>
      </c>
      <c r="Z49" s="30" t="s">
        <v>113</v>
      </c>
    </row>
    <row r="50" customFormat="false" ht="32.8" hidden="false" customHeight="false" outlineLevel="0" collapsed="false">
      <c r="A50" s="34" t="s">
        <v>301</v>
      </c>
      <c r="B50" s="35" t="s">
        <v>302</v>
      </c>
      <c r="C50" s="35" t="s">
        <v>303</v>
      </c>
      <c r="D50" s="35" t="s">
        <v>140</v>
      </c>
      <c r="E50" s="34" t="s">
        <v>106</v>
      </c>
      <c r="F50" s="36" t="n">
        <f aca="false">'Políticas afirmativas e apoio'!F38</f>
        <v>28.801758</v>
      </c>
      <c r="G50" s="36" t="n">
        <f aca="false">'Políticas afirmativas e apoio'!G38</f>
        <v>33.90942</v>
      </c>
      <c r="H50" s="36" t="n">
        <f aca="false">'Políticas afirmativas e apoio'!H38</f>
        <v>114.40135</v>
      </c>
      <c r="I50" s="36" t="n">
        <f aca="false">'Políticas afirmativas e apoio'!I38</f>
        <v>174.105396</v>
      </c>
      <c r="J50" s="37" t="n">
        <f aca="false">IFERROR(F50*FATOR_2016,"n.d.")</f>
        <v>44.6484844072743</v>
      </c>
      <c r="K50" s="37" t="n">
        <f aca="false">IFERROR(G50*FATOR_2019,"n.d.")</f>
        <v>47.1859912582679</v>
      </c>
      <c r="L50" s="37" t="n">
        <f aca="false">IFERROR(H50*FATOR_2022,"n.d.")</f>
        <v>130.820913895466</v>
      </c>
      <c r="M50" s="38" t="n">
        <f aca="false">IFERROR(I50/G50-1,"n.d.")</f>
        <v>4.13442565517193</v>
      </c>
      <c r="N50" s="38" t="n">
        <f aca="false">IFERROR(I50/J50-1,"n.d.")</f>
        <v>2.89946933947066</v>
      </c>
      <c r="O50" s="38" t="n">
        <f aca="false">IFERROR(I50/K50-1,"n.d.")</f>
        <v>2.68976875037023</v>
      </c>
      <c r="P50" s="38" t="n">
        <f aca="false">IFERROR(I50/L50-1,"n.d.")</f>
        <v>0.330868213771389</v>
      </c>
      <c r="Q50" s="38" t="n">
        <f aca="false">IFERROR(F50/PIB_2016,"n.d.")</f>
        <v>0.00459407493021181</v>
      </c>
      <c r="R50" s="38" t="n">
        <f aca="false">IFERROR(G50/PIB_2019,"n.d.")</f>
        <v>0.00458909444155206</v>
      </c>
      <c r="S50" s="38" t="n">
        <f aca="false">IFERROR(H50/PIB_2022,"n.d.")</f>
        <v>0.0113497050897271</v>
      </c>
      <c r="T50" s="38" t="n">
        <f aca="false">IFERROR(I50/PIB_2025,"n.d.")</f>
        <v>0.0136675820496593</v>
      </c>
      <c r="U50" s="35" t="s">
        <v>304</v>
      </c>
      <c r="V50" s="35" t="s">
        <v>304</v>
      </c>
      <c r="W50" s="35" t="s">
        <v>304</v>
      </c>
      <c r="X50" s="35" t="s">
        <v>304</v>
      </c>
      <c r="Y50" s="35" t="s">
        <v>108</v>
      </c>
      <c r="Z50" s="35" t="s">
        <v>305</v>
      </c>
    </row>
    <row r="51" customFormat="false" ht="43.25" hidden="false" customHeight="false" outlineLevel="0" collapsed="false">
      <c r="A51" s="29" t="s">
        <v>306</v>
      </c>
      <c r="B51" s="30" t="s">
        <v>307</v>
      </c>
      <c r="C51" s="30" t="s">
        <v>308</v>
      </c>
      <c r="D51" s="30" t="s">
        <v>309</v>
      </c>
      <c r="E51" s="29" t="s">
        <v>106</v>
      </c>
      <c r="F51" s="31" t="n">
        <f aca="false">'Políticas afirmativas e apoio'!F33</f>
        <v>3.42</v>
      </c>
      <c r="G51" s="31" t="n">
        <f aca="false">'Políticas afirmativas e apoio'!G33</f>
        <v>3.95</v>
      </c>
      <c r="H51" s="31" t="n">
        <f aca="false">'Políticas afirmativas e apoio'!H33</f>
        <v>3.56</v>
      </c>
      <c r="I51" s="36" t="n">
        <f aca="false">'Políticas afirmativas e apoio'!I33</f>
        <v>5.5</v>
      </c>
      <c r="J51" s="32" t="n">
        <f aca="false">IFERROR(F51*FATOR_2016,"n.d.")</f>
        <v>5.30168389974245</v>
      </c>
      <c r="K51" s="32" t="n">
        <f aca="false">IFERROR(G51*FATOR_2019,"n.d.")</f>
        <v>5.4965453691086</v>
      </c>
      <c r="L51" s="32" t="n">
        <f aca="false">IFERROR(H51*FATOR_2022,"n.d.")</f>
        <v>4.07095242729094</v>
      </c>
      <c r="M51" s="33" t="n">
        <f aca="false">IFERROR(I51/G51-1,"n.d.")</f>
        <v>0.392405063291139</v>
      </c>
      <c r="N51" s="33" t="n">
        <f aca="false">IFERROR(I51/J51-1,"n.d.")</f>
        <v>0.037406247525845</v>
      </c>
      <c r="O51" s="33" t="n">
        <f aca="false">IFERROR(I51/K51-1,"n.d.")</f>
        <v>0.000628509483578732</v>
      </c>
      <c r="P51" s="33" t="n">
        <f aca="false">IFERROR(I51/L51-1,"n.d.")</f>
        <v>0.351035193417879</v>
      </c>
      <c r="Q51" s="33" t="n">
        <f aca="false">IFERROR(F51/PIB_2016,"n.d.")</f>
        <v>0.000545513098933905</v>
      </c>
      <c r="R51" s="33" t="n">
        <f aca="false">IFERROR(G51/PIB_2019,"n.d.")</f>
        <v>0.000534568949988842</v>
      </c>
      <c r="S51" s="33" t="n">
        <f aca="false">IFERROR(H51/PIB_2022,"n.d.")</f>
        <v>0.000353185955580318</v>
      </c>
      <c r="T51" s="33" t="n">
        <f aca="false">IFERROR(I51/PIB_2025,"n.d.")</f>
        <v>0.000431759744385671</v>
      </c>
      <c r="U51" s="30" t="s">
        <v>310</v>
      </c>
      <c r="V51" s="30" t="s">
        <v>310</v>
      </c>
      <c r="W51" s="30" t="s">
        <v>310</v>
      </c>
      <c r="X51" s="30" t="s">
        <v>311</v>
      </c>
      <c r="Y51" s="30" t="s">
        <v>108</v>
      </c>
      <c r="Z51" s="30" t="s">
        <v>312</v>
      </c>
    </row>
    <row r="52" customFormat="false" ht="53.7" hidden="false" customHeight="false" outlineLevel="0" collapsed="false">
      <c r="A52" s="29" t="s">
        <v>313</v>
      </c>
      <c r="B52" s="30" t="s">
        <v>314</v>
      </c>
      <c r="C52" s="30" t="s">
        <v>315</v>
      </c>
      <c r="D52" s="30" t="s">
        <v>153</v>
      </c>
      <c r="E52" s="29" t="s">
        <v>106</v>
      </c>
      <c r="F52" s="31" t="n">
        <f aca="false">'Políticas afirmativas e apoio'!F35</f>
        <v>7.02</v>
      </c>
      <c r="G52" s="31" t="n">
        <f aca="false">'Políticas afirmativas e apoio'!G35</f>
        <v>1.942</v>
      </c>
      <c r="H52" s="31" t="n">
        <f aca="false">'Políticas afirmativas e apoio'!H35</f>
        <v>0.726</v>
      </c>
      <c r="I52" s="31" t="n">
        <f aca="false">'Políticas afirmativas e apoio'!I35</f>
        <v>2.19</v>
      </c>
      <c r="J52" s="32" t="n">
        <f aca="false">IFERROR(F52*FATOR_2016,"n.d.")</f>
        <v>10.8824037942082</v>
      </c>
      <c r="K52" s="32" t="n">
        <f aca="false">IFERROR(G52*FATOR_2019,"n.d.")</f>
        <v>2.70235217893896</v>
      </c>
      <c r="L52" s="32" t="n">
        <f aca="false">IFERROR(H52*FATOR_2022,"n.d.")</f>
        <v>0.830199848936298</v>
      </c>
      <c r="M52" s="33" t="n">
        <f aca="false">IFERROR(I52/G52-1,"n.d.")</f>
        <v>0.127703398558187</v>
      </c>
      <c r="N52" s="33" t="n">
        <f aca="false">IFERROR(I52/J52-1,"n.d.")</f>
        <v>-0.798757697158273</v>
      </c>
      <c r="O52" s="33" t="n">
        <f aca="false">IFERROR(I52/K52-1,"n.d.")</f>
        <v>-0.189594895488466</v>
      </c>
      <c r="P52" s="33" t="n">
        <f aca="false">IFERROR(I52/L52-1,"n.d.")</f>
        <v>1.637919053835</v>
      </c>
      <c r="Q52" s="33" t="n">
        <f aca="false">IFERROR(F52/PIB_2016,"n.d.")</f>
        <v>0.00111973741360117</v>
      </c>
      <c r="R52" s="33" t="n">
        <f aca="false">IFERROR(G52/PIB_2019,"n.d.")</f>
        <v>0.000262818455918565</v>
      </c>
      <c r="S52" s="33" t="n">
        <f aca="false">IFERROR(H52/PIB_2022,"n.d.")</f>
        <v>7.20261246492447E-005</v>
      </c>
      <c r="T52" s="33" t="n">
        <f aca="false">IFERROR(I52/PIB_2025,"n.d.")</f>
        <v>0.000171918880037204</v>
      </c>
      <c r="U52" s="30" t="s">
        <v>154</v>
      </c>
      <c r="V52" s="30" t="s">
        <v>154</v>
      </c>
      <c r="W52" s="30" t="s">
        <v>154</v>
      </c>
      <c r="X52" s="30" t="s">
        <v>154</v>
      </c>
      <c r="Y52" s="30" t="s">
        <v>108</v>
      </c>
      <c r="Z52" s="30" t="s">
        <v>316</v>
      </c>
    </row>
    <row r="53" customFormat="false" ht="32.8" hidden="false" customHeight="false" outlineLevel="0" collapsed="false">
      <c r="A53" s="29" t="s">
        <v>317</v>
      </c>
      <c r="B53" s="30" t="s">
        <v>318</v>
      </c>
      <c r="C53" s="30" t="s">
        <v>319</v>
      </c>
      <c r="D53" s="30" t="s">
        <v>140</v>
      </c>
      <c r="E53" s="29" t="s">
        <v>106</v>
      </c>
      <c r="F53" s="31" t="n">
        <f aca="false">'Políticas afirmativas e apoio'!F37</f>
        <v>2.170886</v>
      </c>
      <c r="G53" s="31" t="n">
        <f aca="false">'Políticas afirmativas e apoio'!G37</f>
        <v>2.195672</v>
      </c>
      <c r="H53" s="31" t="n">
        <f aca="false">'Políticas afirmativas e apoio'!H37</f>
        <v>2.827438</v>
      </c>
      <c r="I53" s="36" t="n">
        <f aca="false">'Políticas afirmativas e apoio'!I37</f>
        <v>3.62178</v>
      </c>
      <c r="J53" s="32" t="n">
        <f aca="false">IFERROR(F53*FATOR_2016,"n.d.")</f>
        <v>3.36530741356032</v>
      </c>
      <c r="K53" s="32" t="n">
        <f aca="false">IFERROR(G53*FATOR_2019,"n.d.")</f>
        <v>3.05534449713453</v>
      </c>
      <c r="L53" s="32" t="n">
        <f aca="false">IFERROR(H53*FATOR_2022,"n.d.")</f>
        <v>3.23324876098726</v>
      </c>
      <c r="M53" s="33" t="n">
        <f aca="false">IFERROR(I53/G53-1,"n.d.")</f>
        <v>0.649508669783101</v>
      </c>
      <c r="N53" s="33" t="n">
        <f aca="false">IFERROR(I53/J53-1,"n.d.")</f>
        <v>0.0762107453857686</v>
      </c>
      <c r="O53" s="33" t="n">
        <f aca="false">IFERROR(I53/K53-1,"n.d.")</f>
        <v>0.1853916975309</v>
      </c>
      <c r="P53" s="33" t="n">
        <f aca="false">IFERROR(I53/L53-1,"n.d.")</f>
        <v>0.120167443872802</v>
      </c>
      <c r="Q53" s="33" t="n">
        <f aca="false">IFERROR(F53/PIB_2016,"n.d.")</f>
        <v>0.000346270979325213</v>
      </c>
      <c r="R53" s="33" t="n">
        <f aca="false">IFERROR(G53/PIB_2019,"n.d.")</f>
        <v>0.000297148879888582</v>
      </c>
      <c r="S53" s="33" t="n">
        <f aca="false">IFERROR(H53/PIB_2022,"n.d.")</f>
        <v>0.000280508817942164</v>
      </c>
      <c r="T53" s="33" t="n">
        <f aca="false">IFERROR(I53/PIB_2025,"n.d.")</f>
        <v>0.000284316146731116</v>
      </c>
      <c r="U53" s="30" t="s">
        <v>320</v>
      </c>
      <c r="V53" s="30" t="s">
        <v>321</v>
      </c>
      <c r="W53" s="30" t="s">
        <v>322</v>
      </c>
      <c r="X53" s="30" t="s">
        <v>323</v>
      </c>
      <c r="Y53" s="30" t="s">
        <v>108</v>
      </c>
      <c r="Z53" s="30" t="s">
        <v>324</v>
      </c>
    </row>
    <row r="54" customFormat="false" ht="32.8" hidden="false" customHeight="false" outlineLevel="0" collapsed="false">
      <c r="A54" s="29" t="s">
        <v>325</v>
      </c>
      <c r="B54" s="30" t="s">
        <v>326</v>
      </c>
      <c r="C54" s="30" t="s">
        <v>327</v>
      </c>
      <c r="D54" s="30" t="s">
        <v>328</v>
      </c>
      <c r="E54" s="29" t="s">
        <v>106</v>
      </c>
      <c r="F54" s="31" t="n">
        <f aca="false">'BNDES, Plano Safra e P&amp;D'!F4</f>
        <v>88.3</v>
      </c>
      <c r="G54" s="31" t="n">
        <f aca="false">'BNDES, Plano Safra e P&amp;D'!G4</f>
        <v>55.314</v>
      </c>
      <c r="H54" s="31" t="n">
        <f aca="false">'BNDES, Plano Safra e P&amp;D'!H4</f>
        <v>97.5</v>
      </c>
      <c r="I54" s="31" t="n">
        <f aca="false">'BNDES, Plano Safra e P&amp;D'!I4</f>
        <v>169.7</v>
      </c>
      <c r="J54" s="32" t="n">
        <f aca="false">IFERROR(F54*FATOR_2016,"n.d.")</f>
        <v>136.882657411479</v>
      </c>
      <c r="K54" s="32" t="n">
        <f aca="false">IFERROR(G54*FATOR_2019,"n.d.")</f>
        <v>76.971116594145</v>
      </c>
      <c r="L54" s="32" t="n">
        <f aca="false">IFERROR(H54*FATOR_2022,"n.d.")</f>
        <v>111.493781365412</v>
      </c>
      <c r="M54" s="33" t="n">
        <f aca="false">IFERROR(I54/G54-1,"n.d.")</f>
        <v>2.06793940051343</v>
      </c>
      <c r="N54" s="33" t="n">
        <f aca="false">IFERROR(I54/J54-1,"n.d.")</f>
        <v>0.239747994443663</v>
      </c>
      <c r="O54" s="33" t="n">
        <f aca="false">IFERROR(I54/K54-1,"n.d.")</f>
        <v>1.2047231157474</v>
      </c>
      <c r="P54" s="33" t="n">
        <f aca="false">IFERROR(I54/L54-1,"n.d.")</f>
        <v>0.522057983160709</v>
      </c>
      <c r="Q54" s="33" t="n">
        <f aca="false">IFERROR(F54/PIB_2016,"n.d.")</f>
        <v>0.0140844463847555</v>
      </c>
      <c r="R54" s="33" t="n">
        <f aca="false">IFERROR(G54/PIB_2019,"n.d.")</f>
        <v>0.00748585997460324</v>
      </c>
      <c r="S54" s="33" t="n">
        <f aca="false">IFERROR(H54/PIB_2022,"n.d.")</f>
        <v>0.00967292996322501</v>
      </c>
      <c r="T54" s="33" t="n">
        <f aca="false">IFERROR(I54/PIB_2025,"n.d.")</f>
        <v>0.0133217506585906</v>
      </c>
      <c r="U54" s="30" t="s">
        <v>329</v>
      </c>
      <c r="V54" s="30" t="s">
        <v>330</v>
      </c>
      <c r="W54" s="30" t="s">
        <v>331</v>
      </c>
      <c r="X54" s="30" t="s">
        <v>332</v>
      </c>
      <c r="Y54" s="30" t="s">
        <v>108</v>
      </c>
      <c r="Z54" s="30" t="s">
        <v>333</v>
      </c>
    </row>
    <row r="55" customFormat="false" ht="32.8" hidden="false" customHeight="false" outlineLevel="0" collapsed="false">
      <c r="A55" s="29" t="s">
        <v>334</v>
      </c>
      <c r="B55" s="30" t="s">
        <v>335</v>
      </c>
      <c r="C55" s="30" t="s">
        <v>336</v>
      </c>
      <c r="D55" s="30" t="s">
        <v>337</v>
      </c>
      <c r="E55" s="29" t="s">
        <v>106</v>
      </c>
      <c r="F55" s="31" t="n">
        <f aca="false">'BNDES, Plano Safra e P&amp;D'!F5</f>
        <v>79.2</v>
      </c>
      <c r="G55" s="31" t="n">
        <f aca="false">'BNDES, Plano Safra e P&amp;D'!G5</f>
        <v>63.077</v>
      </c>
      <c r="H55" s="36" t="n">
        <f aca="false">'BNDES, Plano Safra e P&amp;D'!H5</f>
        <v>132.5</v>
      </c>
      <c r="I55" s="31" t="n">
        <f aca="false">'BNDES, Plano Safra e P&amp;D'!I5</f>
        <v>237.9</v>
      </c>
      <c r="J55" s="32" t="n">
        <f aca="false">IFERROR(F55*FATOR_2016,"n.d.")</f>
        <v>122.775837678246</v>
      </c>
      <c r="K55" s="32" t="n">
        <f aca="false">IFERROR(G55*FATOR_2019,"n.d.")</f>
        <v>87.7735676575349</v>
      </c>
      <c r="L55" s="32" t="n">
        <f aca="false">IFERROR(H55*FATOR_2022,"n.d.")</f>
        <v>151.517190060688</v>
      </c>
      <c r="M55" s="33" t="n">
        <f aca="false">IFERROR(I55/G55-1,"n.d.")</f>
        <v>2.77158076636492</v>
      </c>
      <c r="N55" s="33" t="n">
        <f aca="false">IFERROR(I55/J55-1,"n.d.")</f>
        <v>0.937677677455195</v>
      </c>
      <c r="O55" s="33" t="n">
        <f aca="false">IFERROR(I55/K55-1,"n.d.")</f>
        <v>1.71038316373571</v>
      </c>
      <c r="P55" s="33" t="n">
        <f aca="false">IFERROR(I55/L55-1,"n.d.")</f>
        <v>0.570118874991759</v>
      </c>
      <c r="Q55" s="33" t="n">
        <f aca="false">IFERROR(F55/PIB_2016,"n.d.")</f>
        <v>0.0126329349226799</v>
      </c>
      <c r="R55" s="33" t="n">
        <f aca="false">IFERROR(G55/PIB_2019,"n.d.")</f>
        <v>0.00853645712872055</v>
      </c>
      <c r="S55" s="33" t="n">
        <f aca="false">IFERROR(H55/PIB_2022,"n.d.")</f>
        <v>0.0131452637961776</v>
      </c>
      <c r="T55" s="33" t="n">
        <f aca="false">IFERROR(I55/PIB_2025,"n.d.")</f>
        <v>0.0186755714889729</v>
      </c>
      <c r="U55" s="30" t="s">
        <v>338</v>
      </c>
      <c r="V55" s="30" t="s">
        <v>339</v>
      </c>
      <c r="W55" s="30" t="s">
        <v>340</v>
      </c>
      <c r="X55" s="30" t="s">
        <v>339</v>
      </c>
      <c r="Y55" s="30" t="s">
        <v>108</v>
      </c>
      <c r="Z55" s="30" t="s">
        <v>341</v>
      </c>
    </row>
    <row r="56" customFormat="false" ht="32.8" hidden="false" customHeight="false" outlineLevel="0" collapsed="false">
      <c r="A56" s="29" t="s">
        <v>342</v>
      </c>
      <c r="B56" s="30" t="s">
        <v>343</v>
      </c>
      <c r="C56" s="30" t="s">
        <v>344</v>
      </c>
      <c r="D56" s="30" t="s">
        <v>140</v>
      </c>
      <c r="E56" s="29" t="s">
        <v>106</v>
      </c>
      <c r="F56" s="31" t="n">
        <f aca="false">'BNDES, Plano Safra e P&amp;D'!F12</f>
        <v>6.975</v>
      </c>
      <c r="G56" s="31" t="n">
        <f aca="false">'BNDES, Plano Safra e P&amp;D'!G12</f>
        <v>6.95</v>
      </c>
      <c r="H56" s="31" t="n">
        <f aca="false">'BNDES, Plano Safra e P&amp;D'!H12</f>
        <v>9.273</v>
      </c>
      <c r="I56" s="31" t="n">
        <f aca="false">'BNDES, Plano Safra e P&amp;D'!I12</f>
        <v>35.01</v>
      </c>
      <c r="J56" s="32" t="n">
        <f aca="false">IFERROR(F56*FATOR_2016,"n.d.")</f>
        <v>10.8126447955274</v>
      </c>
      <c r="K56" s="32" t="n">
        <f aca="false">IFERROR(G56*FATOR_2019,"n.d.")</f>
        <v>9.67113678868474</v>
      </c>
      <c r="L56" s="32" t="n">
        <f aca="false">IFERROR(H56*FATOR_2022,"n.d.")</f>
        <v>10.6039162523227</v>
      </c>
      <c r="M56" s="33" t="n">
        <f aca="false">IFERROR(I56/G56-1,"n.d.")</f>
        <v>4.03741007194245</v>
      </c>
      <c r="N56" s="33" t="n">
        <f aca="false">IFERROR(I56/J56-1,"n.d.")</f>
        <v>2.23787571515175</v>
      </c>
      <c r="O56" s="33" t="n">
        <f aca="false">IFERROR(I56/K56-1,"n.d.")</f>
        <v>2.62005013112438</v>
      </c>
      <c r="P56" s="33" t="n">
        <f aca="false">IFERROR(I56/L56-1,"n.d.")</f>
        <v>2.30161038308194</v>
      </c>
      <c r="Q56" s="33" t="n">
        <f aca="false">IFERROR(F56/PIB_2016,"n.d.")</f>
        <v>0.00111255960966783</v>
      </c>
      <c r="R56" s="33" t="n">
        <f aca="false">IFERROR(G56/PIB_2019,"n.d.")</f>
        <v>0.000940570684157582</v>
      </c>
      <c r="S56" s="33" t="n">
        <f aca="false">IFERROR(H56/PIB_2022,"n.d.")</f>
        <v>0.000919970046656262</v>
      </c>
      <c r="T56" s="33" t="n">
        <f aca="false">IFERROR(I56/PIB_2025,"n.d.")</f>
        <v>0.00274834702744406</v>
      </c>
      <c r="U56" s="30" t="s">
        <v>235</v>
      </c>
      <c r="V56" s="30" t="s">
        <v>235</v>
      </c>
      <c r="W56" s="30" t="s">
        <v>235</v>
      </c>
      <c r="X56" s="30" t="s">
        <v>235</v>
      </c>
      <c r="Y56" s="30" t="s">
        <v>108</v>
      </c>
      <c r="Z56" s="30" t="s">
        <v>113</v>
      </c>
    </row>
    <row r="57" customFormat="false" ht="22.35" hidden="false" customHeight="false" outlineLevel="0" collapsed="false">
      <c r="A57" s="41" t="s">
        <v>345</v>
      </c>
      <c r="B57" s="42" t="s">
        <v>346</v>
      </c>
      <c r="C57" s="42" t="s">
        <v>347</v>
      </c>
      <c r="D57" s="42" t="s">
        <v>105</v>
      </c>
      <c r="E57" s="41" t="s">
        <v>132</v>
      </c>
      <c r="F57" s="47" t="n">
        <f aca="false">'BNDES, Plano Safra e P&amp;D'!F15</f>
        <v>0.0119584</v>
      </c>
      <c r="G57" s="48" t="n">
        <f aca="false">'BNDES, Plano Safra e P&amp;D'!G15</f>
        <v>0.0115115</v>
      </c>
      <c r="H57" s="47" t="n">
        <f aca="false">'BNDES, Plano Safra e P&amp;D'!H15</f>
        <v>0.0118873</v>
      </c>
      <c r="I57" s="48" t="n">
        <f aca="false">'BNDES, Plano Safra e P&amp;D'!I15</f>
        <v>0.011938</v>
      </c>
      <c r="J57" s="44" t="s">
        <v>133</v>
      </c>
      <c r="K57" s="44" t="s">
        <v>133</v>
      </c>
      <c r="L57" s="44" t="s">
        <v>133</v>
      </c>
      <c r="M57" s="49" t="n">
        <f aca="false">IFERROR((I57-G57)*100,"n.d.")</f>
        <v>0.0426500000000002</v>
      </c>
      <c r="N57" s="45" t="s">
        <v>133</v>
      </c>
      <c r="O57" s="45" t="s">
        <v>133</v>
      </c>
      <c r="P57" s="45" t="s">
        <v>133</v>
      </c>
      <c r="Q57" s="45" t="s">
        <v>133</v>
      </c>
      <c r="R57" s="45" t="s">
        <v>133</v>
      </c>
      <c r="S57" s="45" t="s">
        <v>133</v>
      </c>
      <c r="T57" s="45" t="s">
        <v>133</v>
      </c>
      <c r="U57" s="42" t="s">
        <v>348</v>
      </c>
      <c r="V57" s="42" t="s">
        <v>348</v>
      </c>
      <c r="W57" s="42" t="s">
        <v>348</v>
      </c>
      <c r="X57" s="42" t="s">
        <v>349</v>
      </c>
      <c r="Y57" s="42" t="s">
        <v>108</v>
      </c>
      <c r="Z57" s="42" t="s">
        <v>350</v>
      </c>
    </row>
    <row r="58" customFormat="false" ht="43.25" hidden="false" customHeight="false" outlineLevel="0" collapsed="false">
      <c r="A58" s="41" t="s">
        <v>351</v>
      </c>
      <c r="B58" s="42" t="s">
        <v>352</v>
      </c>
      <c r="C58" s="42" t="s">
        <v>353</v>
      </c>
      <c r="D58" s="42" t="s">
        <v>354</v>
      </c>
      <c r="E58" s="41" t="s">
        <v>106</v>
      </c>
      <c r="F58" s="43" t="n">
        <f aca="false">'BNDES, Plano Safra e P&amp;D'!F7</f>
        <v>232.88</v>
      </c>
      <c r="G58" s="43" t="n">
        <f aca="false">'BNDES, Plano Safra e P&amp;D'!G7</f>
        <v>225.59</v>
      </c>
      <c r="H58" s="43" t="n">
        <f aca="false">'BNDES, Plano Safra e P&amp;D'!H7</f>
        <v>340.88</v>
      </c>
      <c r="I58" s="43" t="n">
        <f aca="false">'BNDES, Plano Safra e P&amp;D'!I7</f>
        <v>605.2</v>
      </c>
      <c r="J58" s="44" t="n">
        <f aca="false">IFERROR(F58*FATOR_2016,"n.d.")</f>
        <v>361.010569173106</v>
      </c>
      <c r="K58" s="44" t="n">
        <f aca="false">IFERROR(G58*FATOR_2019,"n.d.")</f>
        <v>313.915359447394</v>
      </c>
      <c r="L58" s="44" t="n">
        <f aca="false">IFERROR(H58*FATOR_2022,"n.d.")</f>
        <v>389.805130172735</v>
      </c>
      <c r="M58" s="45" t="n">
        <f aca="false">IFERROR(I58/G58-1,"n.d.")</f>
        <v>1.6827430293896</v>
      </c>
      <c r="N58" s="45" t="n">
        <f aca="false">IFERROR(I58/J58-1,"n.d.")</f>
        <v>0.676405212695601</v>
      </c>
      <c r="O58" s="45" t="n">
        <f aca="false">IFERROR(I58/K58-1,"n.d.")</f>
        <v>0.927908214065642</v>
      </c>
      <c r="P58" s="45" t="n">
        <f aca="false">IFERROR(I58/L58-1,"n.d.")</f>
        <v>0.552570638903129</v>
      </c>
      <c r="Q58" s="45" t="n">
        <f aca="false">IFERROR(F58/PIB_2016,"n.d.")</f>
        <v>0.0371459328888093</v>
      </c>
      <c r="R58" s="45" t="n">
        <f aca="false">IFERROR(G58/PIB_2019,"n.d.")</f>
        <v>0.0305299770703754</v>
      </c>
      <c r="S58" s="45" t="n">
        <f aca="false">IFERROR(H58/PIB_2022,"n.d.")</f>
        <v>0.0338185473421963</v>
      </c>
      <c r="T58" s="45" t="n">
        <f aca="false">IFERROR(I58/PIB_2025,"n.d.")</f>
        <v>0.0475092722367651</v>
      </c>
      <c r="U58" s="42" t="s">
        <v>355</v>
      </c>
      <c r="V58" s="42" t="s">
        <v>356</v>
      </c>
      <c r="W58" s="42" t="s">
        <v>357</v>
      </c>
      <c r="X58" s="42" t="s">
        <v>358</v>
      </c>
      <c r="Y58" s="42" t="s">
        <v>108</v>
      </c>
      <c r="Z58" s="42" t="s">
        <v>359</v>
      </c>
    </row>
    <row r="59" customFormat="false" ht="43.25" hidden="false" customHeight="false" outlineLevel="0" collapsed="false">
      <c r="A59" s="41" t="s">
        <v>360</v>
      </c>
      <c r="B59" s="42" t="s">
        <v>361</v>
      </c>
      <c r="C59" s="42" t="s">
        <v>362</v>
      </c>
      <c r="D59" s="42" t="s">
        <v>105</v>
      </c>
      <c r="E59" s="41" t="s">
        <v>363</v>
      </c>
      <c r="F59" s="50" t="n">
        <f aca="false">Emprego!F4</f>
        <v>38392395</v>
      </c>
      <c r="G59" s="51" t="n">
        <f aca="false">Emprego!G4</f>
        <v>39054507</v>
      </c>
      <c r="H59" s="52" t="n">
        <f aca="false">Emprego!H4</f>
        <v>42716337</v>
      </c>
      <c r="I59" s="51" t="n">
        <f aca="false">Emprego!I4</f>
        <v>48474348</v>
      </c>
      <c r="J59" s="44" t="s">
        <v>133</v>
      </c>
      <c r="K59" s="44" t="s">
        <v>133</v>
      </c>
      <c r="L59" s="44" t="s">
        <v>133</v>
      </c>
      <c r="M59" s="45" t="n">
        <f aca="false">IFERROR(I59/G59-1,"n.d.")</f>
        <v>0.241197283581124</v>
      </c>
      <c r="N59" s="45" t="s">
        <v>133</v>
      </c>
      <c r="O59" s="45" t="s">
        <v>133</v>
      </c>
      <c r="P59" s="45" t="s">
        <v>133</v>
      </c>
      <c r="Q59" s="45" t="s">
        <v>133</v>
      </c>
      <c r="R59" s="45" t="s">
        <v>133</v>
      </c>
      <c r="S59" s="45" t="s">
        <v>133</v>
      </c>
      <c r="T59" s="45" t="s">
        <v>133</v>
      </c>
      <c r="U59" s="42" t="s">
        <v>364</v>
      </c>
      <c r="V59" s="42" t="s">
        <v>365</v>
      </c>
      <c r="W59" s="42" t="s">
        <v>366</v>
      </c>
      <c r="X59" s="42" t="s">
        <v>367</v>
      </c>
      <c r="Y59" s="42" t="s">
        <v>108</v>
      </c>
      <c r="Z59" s="42" t="s">
        <v>368</v>
      </c>
    </row>
    <row r="60" customFormat="false" ht="32.8" hidden="false" customHeight="false" outlineLevel="0" collapsed="false">
      <c r="A60" s="41" t="s">
        <v>369</v>
      </c>
      <c r="B60" s="42" t="s">
        <v>370</v>
      </c>
      <c r="C60" s="42" t="s">
        <v>371</v>
      </c>
      <c r="D60" s="42" t="s">
        <v>105</v>
      </c>
      <c r="E60" s="41" t="s">
        <v>363</v>
      </c>
      <c r="F60" s="51" t="n">
        <f aca="false">Emprego!F5</f>
        <v>14700000</v>
      </c>
      <c r="G60" s="51" t="n">
        <f aca="false">Emprego!G5</f>
        <v>16197094</v>
      </c>
      <c r="H60" s="51" t="n">
        <f aca="false">Emprego!H5</f>
        <v>22648395</v>
      </c>
      <c r="I60" s="51" t="n">
        <f aca="false">Emprego!I5</f>
        <v>26599777</v>
      </c>
      <c r="J60" s="44" t="s">
        <v>133</v>
      </c>
      <c r="K60" s="44" t="s">
        <v>133</v>
      </c>
      <c r="L60" s="44" t="s">
        <v>133</v>
      </c>
      <c r="M60" s="45" t="n">
        <f aca="false">IFERROR(I60/G60-1,"n.d.")</f>
        <v>0.642256135575925</v>
      </c>
      <c r="N60" s="45" t="s">
        <v>133</v>
      </c>
      <c r="O60" s="45" t="s">
        <v>133</v>
      </c>
      <c r="P60" s="45" t="s">
        <v>133</v>
      </c>
      <c r="Q60" s="45" t="s">
        <v>133</v>
      </c>
      <c r="R60" s="45" t="s">
        <v>133</v>
      </c>
      <c r="S60" s="45" t="s">
        <v>133</v>
      </c>
      <c r="T60" s="45" t="s">
        <v>133</v>
      </c>
      <c r="U60" s="42" t="s">
        <v>372</v>
      </c>
      <c r="V60" s="42" t="s">
        <v>373</v>
      </c>
      <c r="W60" s="42" t="s">
        <v>366</v>
      </c>
      <c r="X60" s="42" t="s">
        <v>374</v>
      </c>
      <c r="Y60" s="42" t="s">
        <v>108</v>
      </c>
      <c r="Z60" s="42" t="s">
        <v>375</v>
      </c>
    </row>
    <row r="61" customFormat="false" ht="22.35" hidden="false" customHeight="false" outlineLevel="0" collapsed="false">
      <c r="A61" s="41" t="s">
        <v>376</v>
      </c>
      <c r="B61" s="42" t="s">
        <v>377</v>
      </c>
      <c r="C61" s="42" t="s">
        <v>371</v>
      </c>
      <c r="D61" s="42" t="s">
        <v>105</v>
      </c>
      <c r="E61" s="41" t="s">
        <v>363</v>
      </c>
      <c r="F61" s="51" t="n">
        <f aca="false">Emprego!F6</f>
        <v>16100000</v>
      </c>
      <c r="G61" s="51" t="n">
        <f aca="false">Emprego!G6</f>
        <v>15553015</v>
      </c>
      <c r="H61" s="51" t="n">
        <f aca="false">Emprego!H6</f>
        <v>20610413</v>
      </c>
      <c r="I61" s="51" t="n">
        <f aca="false">Emprego!I6</f>
        <v>25320279</v>
      </c>
      <c r="J61" s="44" t="s">
        <v>133</v>
      </c>
      <c r="K61" s="44" t="s">
        <v>133</v>
      </c>
      <c r="L61" s="44" t="s">
        <v>133</v>
      </c>
      <c r="M61" s="45" t="n">
        <f aca="false">IFERROR(I61/G61-1,"n.d.")</f>
        <v>0.627998108405348</v>
      </c>
      <c r="N61" s="45" t="s">
        <v>133</v>
      </c>
      <c r="O61" s="45" t="s">
        <v>133</v>
      </c>
      <c r="P61" s="45" t="s">
        <v>133</v>
      </c>
      <c r="Q61" s="45" t="s">
        <v>133</v>
      </c>
      <c r="R61" s="45" t="s">
        <v>133</v>
      </c>
      <c r="S61" s="45" t="s">
        <v>133</v>
      </c>
      <c r="T61" s="45" t="s">
        <v>133</v>
      </c>
      <c r="U61" s="42" t="s">
        <v>372</v>
      </c>
      <c r="V61" s="42" t="s">
        <v>373</v>
      </c>
      <c r="W61" s="42" t="s">
        <v>366</v>
      </c>
      <c r="X61" s="42" t="s">
        <v>374</v>
      </c>
      <c r="Y61" s="42" t="s">
        <v>108</v>
      </c>
      <c r="Z61" s="42" t="s">
        <v>378</v>
      </c>
    </row>
    <row r="62" customFormat="false" ht="32.8" hidden="false" customHeight="false" outlineLevel="0" collapsed="false">
      <c r="A62" s="29" t="s">
        <v>379</v>
      </c>
      <c r="B62" s="30" t="s">
        <v>380</v>
      </c>
      <c r="C62" s="30" t="s">
        <v>381</v>
      </c>
      <c r="D62" s="30" t="s">
        <v>105</v>
      </c>
      <c r="E62" s="29" t="s">
        <v>363</v>
      </c>
      <c r="F62" s="52" t="n">
        <f aca="false">Emprego!F7</f>
        <v>-1321994</v>
      </c>
      <c r="G62" s="52" t="n">
        <f aca="false">Emprego!G7</f>
        <v>644079</v>
      </c>
      <c r="H62" s="52" t="n">
        <f aca="false">Emprego!H7</f>
        <v>2037982</v>
      </c>
      <c r="I62" s="52" t="n">
        <f aca="false">Emprego!I7</f>
        <v>1279498</v>
      </c>
      <c r="J62" s="32" t="s">
        <v>133</v>
      </c>
      <c r="K62" s="32" t="s">
        <v>133</v>
      </c>
      <c r="L62" s="32" t="s">
        <v>133</v>
      </c>
      <c r="M62" s="33" t="n">
        <f aca="false">IFERROR(I62/G62-1,"n.d.")</f>
        <v>0.986554444408217</v>
      </c>
      <c r="N62" s="33" t="s">
        <v>133</v>
      </c>
      <c r="O62" s="33" t="s">
        <v>133</v>
      </c>
      <c r="P62" s="33" t="s">
        <v>133</v>
      </c>
      <c r="Q62" s="33" t="s">
        <v>133</v>
      </c>
      <c r="R62" s="33" t="s">
        <v>133</v>
      </c>
      <c r="S62" s="33" t="s">
        <v>133</v>
      </c>
      <c r="T62" s="33" t="s">
        <v>133</v>
      </c>
      <c r="U62" s="30" t="s">
        <v>382</v>
      </c>
      <c r="V62" s="30" t="s">
        <v>373</v>
      </c>
      <c r="W62" s="30" t="s">
        <v>366</v>
      </c>
      <c r="X62" s="30" t="s">
        <v>374</v>
      </c>
      <c r="Y62" s="30" t="s">
        <v>108</v>
      </c>
      <c r="Z62" s="30" t="s">
        <v>383</v>
      </c>
    </row>
    <row r="63" customFormat="false" ht="22.35" hidden="false" customHeight="false" outlineLevel="0" collapsed="false">
      <c r="A63" s="29" t="s">
        <v>384</v>
      </c>
      <c r="B63" s="30" t="s">
        <v>385</v>
      </c>
      <c r="C63" s="30" t="s">
        <v>386</v>
      </c>
      <c r="D63" s="30" t="s">
        <v>105</v>
      </c>
      <c r="E63" s="29" t="s">
        <v>132</v>
      </c>
      <c r="F63" s="47" t="n">
        <f aca="false">Emprego!F8</f>
        <v>0.115</v>
      </c>
      <c r="G63" s="47" t="n">
        <f aca="false">Emprego!G8</f>
        <v>0.119</v>
      </c>
      <c r="H63" s="47" t="n">
        <f aca="false">Emprego!H8</f>
        <v>0.093</v>
      </c>
      <c r="I63" s="47" t="n">
        <f aca="false">Emprego!I8</f>
        <v>0.056</v>
      </c>
      <c r="J63" s="32" t="s">
        <v>133</v>
      </c>
      <c r="K63" s="32" t="s">
        <v>133</v>
      </c>
      <c r="L63" s="32" t="s">
        <v>133</v>
      </c>
      <c r="M63" s="53" t="n">
        <f aca="false">IFERROR((I63-G63)*100,"n.d.")</f>
        <v>-6.3</v>
      </c>
      <c r="N63" s="33" t="s">
        <v>133</v>
      </c>
      <c r="O63" s="33" t="s">
        <v>133</v>
      </c>
      <c r="P63" s="33" t="s">
        <v>133</v>
      </c>
      <c r="Q63" s="33" t="s">
        <v>133</v>
      </c>
      <c r="R63" s="33" t="s">
        <v>133</v>
      </c>
      <c r="S63" s="33" t="s">
        <v>133</v>
      </c>
      <c r="T63" s="33" t="s">
        <v>133</v>
      </c>
      <c r="U63" s="30" t="s">
        <v>387</v>
      </c>
      <c r="V63" s="30" t="s">
        <v>388</v>
      </c>
      <c r="W63" s="30" t="s">
        <v>387</v>
      </c>
      <c r="X63" s="30" t="s">
        <v>388</v>
      </c>
      <c r="Y63" s="30" t="s">
        <v>108</v>
      </c>
      <c r="Z63" s="30" t="s">
        <v>389</v>
      </c>
    </row>
    <row r="64" customFormat="false" ht="22.35" hidden="false" customHeight="false" outlineLevel="0" collapsed="false">
      <c r="A64" s="41" t="s">
        <v>390</v>
      </c>
      <c r="B64" s="42" t="s">
        <v>391</v>
      </c>
      <c r="C64" s="42" t="s">
        <v>392</v>
      </c>
      <c r="D64" s="42" t="s">
        <v>393</v>
      </c>
      <c r="E64" s="41" t="s">
        <v>106</v>
      </c>
      <c r="F64" s="46" t="str">
        <f aca="false">'Invest. privados e industriais'!F5</f>
        <v>não localizado após busca</v>
      </c>
      <c r="G64" s="46" t="str">
        <f aca="false">'Invest. privados e industriais'!G5</f>
        <v>não localizado após busca</v>
      </c>
      <c r="H64" s="46" t="str">
        <f aca="false">'Invest. privados e industriais'!H5</f>
        <v>não localizado após busca</v>
      </c>
      <c r="I64" s="43" t="n">
        <f aca="false">'Invest. privados e industriais'!I5</f>
        <v>2200</v>
      </c>
      <c r="J64" s="44" t="str">
        <f aca="false">IFERROR(F64*FATOR_2016,"n.d.")</f>
        <v>n.d.</v>
      </c>
      <c r="K64" s="44" t="str">
        <f aca="false">IFERROR(G64*FATOR_2019,"n.d.")</f>
        <v>n.d.</v>
      </c>
      <c r="L64" s="44" t="str">
        <f aca="false">IFERROR(H64*FATOR_2022,"n.d.")</f>
        <v>n.d.</v>
      </c>
      <c r="M64" s="45" t="str">
        <f aca="false">IFERROR(I64/G64-1,"n.d.")</f>
        <v>n.d.</v>
      </c>
      <c r="N64" s="45" t="str">
        <f aca="false">IFERROR(I64/J64-1,"n.d.")</f>
        <v>n.d.</v>
      </c>
      <c r="O64" s="45" t="str">
        <f aca="false">IFERROR(I64/K64-1,"n.d.")</f>
        <v>n.d.</v>
      </c>
      <c r="P64" s="45" t="str">
        <f aca="false">IFERROR(I64/L64-1,"n.d.")</f>
        <v>n.d.</v>
      </c>
      <c r="Q64" s="45" t="str">
        <f aca="false">IFERROR(F64/PIB_2016,"n.d.")</f>
        <v>n.d.</v>
      </c>
      <c r="R64" s="45" t="str">
        <f aca="false">IFERROR(G64/PIB_2019,"n.d.")</f>
        <v>n.d.</v>
      </c>
      <c r="S64" s="45" t="str">
        <f aca="false">IFERROR(H64/PIB_2022,"n.d.")</f>
        <v>n.d.</v>
      </c>
      <c r="T64" s="45" t="n">
        <f aca="false">IFERROR(I64/PIB_2025,"n.d.")</f>
        <v>0.172703897754268</v>
      </c>
      <c r="U64" s="42" t="s">
        <v>394</v>
      </c>
      <c r="V64" s="42" t="s">
        <v>395</v>
      </c>
      <c r="W64" s="42" t="s">
        <v>394</v>
      </c>
      <c r="X64" s="42" t="s">
        <v>396</v>
      </c>
      <c r="Y64" s="42" t="s">
        <v>108</v>
      </c>
      <c r="Z64" s="42" t="s">
        <v>397</v>
      </c>
    </row>
    <row r="65" customFormat="false" ht="22.35" hidden="false" customHeight="false" outlineLevel="0" collapsed="false">
      <c r="A65" s="29" t="s">
        <v>398</v>
      </c>
      <c r="B65" s="30" t="s">
        <v>399</v>
      </c>
      <c r="C65" s="30" t="s">
        <v>400</v>
      </c>
      <c r="D65" s="30" t="s">
        <v>401</v>
      </c>
      <c r="E65" s="29" t="s">
        <v>106</v>
      </c>
      <c r="F65" s="31" t="n">
        <f aca="false">'Invest. privados e industriais'!F4</f>
        <v>973.27</v>
      </c>
      <c r="G65" s="31" t="n">
        <f aca="false">'Invest. privados e industriais'!G4</f>
        <v>1143.186</v>
      </c>
      <c r="H65" s="31" t="n">
        <f aca="false">'Invest. privados e industriais'!H4</f>
        <v>1794.223</v>
      </c>
      <c r="I65" s="31" t="n">
        <f aca="false">'Invest. privados e industriais'!I4</f>
        <v>2145.05</v>
      </c>
      <c r="J65" s="32" t="n">
        <f aca="false">IFERROR(F65*FATOR_2016,"n.d.")</f>
        <v>1508.76312546852</v>
      </c>
      <c r="K65" s="32" t="n">
        <f aca="false">IFERROR(G65*FATOR_2019,"n.d.")</f>
        <v>1590.77815552653</v>
      </c>
      <c r="L65" s="32" t="n">
        <f aca="false">IFERROR(H65*FATOR_2022,"n.d.")</f>
        <v>2051.74058341327</v>
      </c>
      <c r="M65" s="33" t="n">
        <f aca="false">IFERROR(I65/G65-1,"n.d.")</f>
        <v>0.876378821993971</v>
      </c>
      <c r="N65" s="33" t="n">
        <f aca="false">IFERROR(I65/J65-1,"n.d.")</f>
        <v>0.421727482459445</v>
      </c>
      <c r="O65" s="33" t="n">
        <f aca="false">IFERROR(I65/K65-1,"n.d.")</f>
        <v>0.348428121512655</v>
      </c>
      <c r="P65" s="33" t="n">
        <f aca="false">IFERROR(I65/L65-1,"n.d.")</f>
        <v>0.0454781746489137</v>
      </c>
      <c r="Q65" s="33" t="n">
        <f aca="false">IFERROR(F65/PIB_2016,"n.d.")</f>
        <v>0.155243138537837</v>
      </c>
      <c r="R65" s="33" t="n">
        <f aca="false">IFERROR(G65/PIB_2019,"n.d.")</f>
        <v>0.154711832825809</v>
      </c>
      <c r="S65" s="33" t="n">
        <f aca="false">IFERROR(H65/PIB_2022,"n.d.")</f>
        <v>0.178004035050333</v>
      </c>
      <c r="T65" s="33" t="n">
        <f aca="false">IFERROR(I65/PIB_2025,"n.d.")</f>
        <v>0.168390225398997</v>
      </c>
      <c r="U65" s="30" t="s">
        <v>107</v>
      </c>
      <c r="V65" s="30" t="s">
        <v>107</v>
      </c>
      <c r="W65" s="30" t="s">
        <v>107</v>
      </c>
      <c r="X65" s="30" t="s">
        <v>107</v>
      </c>
      <c r="Y65" s="30" t="s">
        <v>108</v>
      </c>
      <c r="Z65" s="30" t="s">
        <v>402</v>
      </c>
    </row>
    <row r="66" customFormat="false" ht="22.35" hidden="false" customHeight="false" outlineLevel="0" collapsed="false">
      <c r="A66" s="29" t="s">
        <v>403</v>
      </c>
      <c r="B66" s="30" t="s">
        <v>404</v>
      </c>
      <c r="C66" s="30" t="s">
        <v>405</v>
      </c>
      <c r="D66" s="30" t="s">
        <v>105</v>
      </c>
      <c r="E66" s="29" t="s">
        <v>406</v>
      </c>
      <c r="F66" s="31" t="n">
        <f aca="false">'Comércio exterior'!F8</f>
        <v>74.2946</v>
      </c>
      <c r="G66" s="31" t="n">
        <f aca="false">'Comércio exterior'!G8</f>
        <v>69.1744</v>
      </c>
      <c r="H66" s="31" t="n">
        <f aca="false">'Comércio exterior'!H8</f>
        <v>75.5011</v>
      </c>
      <c r="I66" s="31" t="n">
        <f aca="false">'Comércio exterior'!I8</f>
        <v>77.6761</v>
      </c>
      <c r="J66" s="32" t="s">
        <v>407</v>
      </c>
      <c r="K66" s="32" t="s">
        <v>407</v>
      </c>
      <c r="L66" s="32" t="s">
        <v>407</v>
      </c>
      <c r="M66" s="33" t="n">
        <f aca="false">IFERROR(I66/G66-1,"n.d.")</f>
        <v>0.122902403201184</v>
      </c>
      <c r="N66" s="33" t="s">
        <v>133</v>
      </c>
      <c r="O66" s="33" t="s">
        <v>133</v>
      </c>
      <c r="P66" s="33" t="s">
        <v>133</v>
      </c>
      <c r="Q66" s="33" t="n">
        <f aca="false">IFERROR(F66/(PIB_2016/PTAX_2016),"n.d.")</f>
        <v>0.041359594371666</v>
      </c>
      <c r="R66" s="33" t="n">
        <f aca="false">IFERROR(G66/(PIB_2019/PTAX_2019),"n.d.")</f>
        <v>0.0369324583003513</v>
      </c>
      <c r="S66" s="33" t="n">
        <f aca="false">IFERROR(H66/(PIB_2022/PTAX_2022),"n.d.")</f>
        <v>0.0386863193396957</v>
      </c>
      <c r="T66" s="33" t="n">
        <f aca="false">IFERROR(I66/(PIB_2025/PTAX_2025),"n.d.")</f>
        <v>0.0340733511047607</v>
      </c>
      <c r="U66" s="30" t="s">
        <v>178</v>
      </c>
      <c r="V66" s="30" t="s">
        <v>408</v>
      </c>
      <c r="W66" s="30" t="s">
        <v>178</v>
      </c>
      <c r="X66" s="30" t="s">
        <v>180</v>
      </c>
      <c r="Y66" s="30" t="s">
        <v>108</v>
      </c>
      <c r="Z66" s="30" t="s">
        <v>409</v>
      </c>
    </row>
    <row r="67" customFormat="false" ht="22.35" hidden="false" customHeight="false" outlineLevel="0" collapsed="false">
      <c r="A67" s="29" t="s">
        <v>410</v>
      </c>
      <c r="B67" s="30" t="s">
        <v>411</v>
      </c>
      <c r="C67" s="30" t="s">
        <v>412</v>
      </c>
      <c r="D67" s="30" t="s">
        <v>105</v>
      </c>
      <c r="E67" s="29" t="s">
        <v>406</v>
      </c>
      <c r="F67" s="31" t="n">
        <f aca="false">'Comércio exterior'!F4</f>
        <v>179.526129214</v>
      </c>
      <c r="G67" s="31" t="n">
        <f aca="false">'Comércio exterior'!G4</f>
        <v>221.126807647</v>
      </c>
      <c r="H67" s="31" t="n">
        <f aca="false">'Comércio exterior'!H4</f>
        <v>334.13603822</v>
      </c>
      <c r="I67" s="31" t="n">
        <f aca="false">'Comércio exterior'!I4</f>
        <v>348.2784625</v>
      </c>
      <c r="J67" s="32" t="s">
        <v>407</v>
      </c>
      <c r="K67" s="32" t="s">
        <v>407</v>
      </c>
      <c r="L67" s="32" t="s">
        <v>407</v>
      </c>
      <c r="M67" s="33" t="n">
        <f aca="false">IFERROR(I67/G67-1,"n.d.")</f>
        <v>0.575016915434247</v>
      </c>
      <c r="N67" s="33" t="s">
        <v>133</v>
      </c>
      <c r="O67" s="33" t="s">
        <v>133</v>
      </c>
      <c r="P67" s="33" t="s">
        <v>133</v>
      </c>
      <c r="Q67" s="33" t="n">
        <f aca="false">IFERROR(F67/(PIB_2016/PTAX_2016),"n.d.")</f>
        <v>0.099941690020625</v>
      </c>
      <c r="R67" s="33" t="n">
        <f aca="false">IFERROR(G67/(PIB_2019/PTAX_2019),"n.d.")</f>
        <v>0.118060389428931</v>
      </c>
      <c r="S67" s="33" t="n">
        <f aca="false">IFERROR(H67/(PIB_2022/PTAX_2022),"n.d.")</f>
        <v>0.171209339698093</v>
      </c>
      <c r="T67" s="33" t="n">
        <f aca="false">IFERROR(I67/(PIB_2025/PTAX_2025),"n.d.")</f>
        <v>0.152775619978201</v>
      </c>
      <c r="U67" s="30" t="s">
        <v>413</v>
      </c>
      <c r="V67" s="30" t="s">
        <v>414</v>
      </c>
      <c r="W67" s="30" t="s">
        <v>413</v>
      </c>
      <c r="X67" s="30" t="s">
        <v>413</v>
      </c>
      <c r="Y67" s="30" t="s">
        <v>108</v>
      </c>
      <c r="Z67" s="30" t="s">
        <v>415</v>
      </c>
    </row>
    <row r="68" customFormat="false" ht="22.35" hidden="false" customHeight="false" outlineLevel="0" collapsed="false">
      <c r="A68" s="29" t="s">
        <v>416</v>
      </c>
      <c r="B68" s="30" t="s">
        <v>417</v>
      </c>
      <c r="C68" s="30" t="s">
        <v>412</v>
      </c>
      <c r="D68" s="30" t="s">
        <v>105</v>
      </c>
      <c r="E68" s="29" t="s">
        <v>406</v>
      </c>
      <c r="F68" s="31" t="n">
        <f aca="false">'Comércio exterior'!F5</f>
        <v>139.321357653</v>
      </c>
      <c r="G68" s="31" t="n">
        <f aca="false">'Comércio exterior'!G5</f>
        <v>185.92796758</v>
      </c>
      <c r="H68" s="31" t="n">
        <f aca="false">'Comércio exterior'!H5</f>
        <v>272.610686946</v>
      </c>
      <c r="I68" s="31" t="n">
        <f aca="false">'Comércio exterior'!I5</f>
        <v>280.208433825</v>
      </c>
      <c r="J68" s="32" t="s">
        <v>407</v>
      </c>
      <c r="K68" s="32" t="s">
        <v>407</v>
      </c>
      <c r="L68" s="32" t="s">
        <v>407</v>
      </c>
      <c r="M68" s="33" t="n">
        <f aca="false">IFERROR(I68/G68-1,"n.d.")</f>
        <v>0.507080604774715</v>
      </c>
      <c r="N68" s="33" t="s">
        <v>133</v>
      </c>
      <c r="O68" s="33" t="s">
        <v>133</v>
      </c>
      <c r="P68" s="33" t="s">
        <v>133</v>
      </c>
      <c r="Q68" s="33" t="n">
        <f aca="false">IFERROR(F68/(PIB_2016/PTAX_2016),"n.d.")</f>
        <v>0.0775598070362836</v>
      </c>
      <c r="R68" s="33" t="n">
        <f aca="false">IFERROR(G68/(PIB_2019/PTAX_2019),"n.d.")</f>
        <v>0.0992676034706109</v>
      </c>
      <c r="S68" s="33" t="n">
        <f aca="false">IFERROR(H68/(PIB_2022/PTAX_2022),"n.d.")</f>
        <v>0.1396841117627</v>
      </c>
      <c r="T68" s="33" t="n">
        <f aca="false">IFERROR(I68/(PIB_2025/PTAX_2025),"n.d.")</f>
        <v>0.122916062318195</v>
      </c>
      <c r="U68" s="30" t="s">
        <v>413</v>
      </c>
      <c r="V68" s="30" t="s">
        <v>418</v>
      </c>
      <c r="W68" s="30" t="s">
        <v>413</v>
      </c>
      <c r="X68" s="30" t="s">
        <v>418</v>
      </c>
      <c r="Y68" s="30" t="s">
        <v>108</v>
      </c>
      <c r="Z68" s="30" t="s">
        <v>419</v>
      </c>
    </row>
    <row r="69" customFormat="false" ht="22.35" hidden="false" customHeight="false" outlineLevel="0" collapsed="false">
      <c r="A69" s="29" t="s">
        <v>420</v>
      </c>
      <c r="B69" s="30" t="s">
        <v>421</v>
      </c>
      <c r="C69" s="30" t="s">
        <v>422</v>
      </c>
      <c r="D69" s="30" t="s">
        <v>105</v>
      </c>
      <c r="E69" s="29" t="s">
        <v>406</v>
      </c>
      <c r="F69" s="31" t="n">
        <f aca="false">'Comércio exterior'!F6</f>
        <v>40.204771561</v>
      </c>
      <c r="G69" s="31" t="n">
        <f aca="false">'Comércio exterior'!G6</f>
        <v>35.198840067</v>
      </c>
      <c r="H69" s="31" t="n">
        <f aca="false">'Comércio exterior'!H6</f>
        <v>61.525351274</v>
      </c>
      <c r="I69" s="31" t="n">
        <f aca="false">'Comércio exterior'!I6</f>
        <v>68.070028675</v>
      </c>
      <c r="J69" s="32" t="s">
        <v>407</v>
      </c>
      <c r="K69" s="32" t="s">
        <v>407</v>
      </c>
      <c r="L69" s="32" t="s">
        <v>407</v>
      </c>
      <c r="M69" s="33" t="n">
        <f aca="false">IFERROR(I69/G69-1,"n.d.")</f>
        <v>0.933871358983155</v>
      </c>
      <c r="N69" s="33" t="s">
        <v>133</v>
      </c>
      <c r="O69" s="33" t="s">
        <v>133</v>
      </c>
      <c r="P69" s="33" t="s">
        <v>133</v>
      </c>
      <c r="Q69" s="33" t="n">
        <f aca="false">IFERROR(F69/(PIB_2016/PTAX_2016),"n.d.")</f>
        <v>0.0223818829843414</v>
      </c>
      <c r="R69" s="33" t="n">
        <f aca="false">IFERROR(G69/(PIB_2019/PTAX_2019),"n.d.")</f>
        <v>0.01879278595832</v>
      </c>
      <c r="S69" s="33" t="n">
        <f aca="false">IFERROR(H69/(PIB_2022/PTAX_2022),"n.d.")</f>
        <v>0.0315252279353932</v>
      </c>
      <c r="T69" s="33" t="n">
        <f aca="false">IFERROR(I69/(PIB_2025/PTAX_2025),"n.d.")</f>
        <v>0.0298595576600061</v>
      </c>
      <c r="U69" s="30" t="s">
        <v>423</v>
      </c>
      <c r="V69" s="30" t="s">
        <v>423</v>
      </c>
      <c r="W69" s="30" t="s">
        <v>423</v>
      </c>
      <c r="X69" s="30" t="s">
        <v>423</v>
      </c>
      <c r="Y69" s="30" t="s">
        <v>108</v>
      </c>
      <c r="Z69" s="30" t="s">
        <v>424</v>
      </c>
    </row>
    <row r="70" customFormat="false" ht="53.7" hidden="false" customHeight="false" outlineLevel="0" collapsed="false">
      <c r="A70" s="34" t="s">
        <v>425</v>
      </c>
      <c r="B70" s="35" t="s">
        <v>426</v>
      </c>
      <c r="C70" s="35" t="s">
        <v>427</v>
      </c>
      <c r="D70" s="35" t="s">
        <v>153</v>
      </c>
      <c r="E70" s="34" t="s">
        <v>106</v>
      </c>
      <c r="F70" s="36" t="n">
        <f aca="false">'Infraestrutura federal'!F4</f>
        <v>15.874</v>
      </c>
      <c r="G70" s="36" t="n">
        <f aca="false">'Infraestrutura federal'!G4</f>
        <v>12.364</v>
      </c>
      <c r="H70" s="36" t="n">
        <f aca="false">'Infraestrutura federal'!H4</f>
        <v>13.376</v>
      </c>
      <c r="I70" s="36" t="n">
        <f aca="false">'Infraestrutura federal'!I4</f>
        <v>20.816</v>
      </c>
      <c r="J70" s="37" t="n">
        <f aca="false">IFERROR(F70*FATOR_2016,"n.d.")</f>
        <v>24.6078743346525</v>
      </c>
      <c r="K70" s="37" t="n">
        <f aca="false">IFERROR(G70*FATOR_2019,"n.d.")</f>
        <v>17.2048827705465</v>
      </c>
      <c r="L70" s="37" t="n">
        <f aca="false">IFERROR(H70*FATOR_2022,"n.d.")</f>
        <v>15.2958032773718</v>
      </c>
      <c r="M70" s="38" t="n">
        <f aca="false">IFERROR(I70/G70-1,"n.d.")</f>
        <v>0.683597541248787</v>
      </c>
      <c r="N70" s="38" t="n">
        <f aca="false">IFERROR(I70/J70-1,"n.d.")</f>
        <v>-0.154091909081023</v>
      </c>
      <c r="O70" s="38" t="n">
        <f aca="false">IFERROR(I70/K70-1,"n.d.")</f>
        <v>0.209889092393903</v>
      </c>
      <c r="P70" s="38" t="n">
        <f aca="false">IFERROR(I70/L70-1,"n.d.")</f>
        <v>0.36089616364213</v>
      </c>
      <c r="Q70" s="38" t="n">
        <f aca="false">IFERROR(F70/PIB_2016,"n.d.")</f>
        <v>0.0025320102141745</v>
      </c>
      <c r="R70" s="38" t="n">
        <f aca="false">IFERROR(G70/PIB_2019,"n.d.")</f>
        <v>0.00167326848042077</v>
      </c>
      <c r="S70" s="38" t="n">
        <f aca="false">IFERROR(H70/PIB_2022,"n.d.")</f>
        <v>0.00132702678141639</v>
      </c>
      <c r="T70" s="38" t="n">
        <f aca="false">IFERROR(I70/PIB_2025,"n.d.")</f>
        <v>0.00163409287984221</v>
      </c>
      <c r="U70" s="35" t="s">
        <v>428</v>
      </c>
      <c r="V70" s="35" t="s">
        <v>429</v>
      </c>
      <c r="W70" s="35" t="s">
        <v>428</v>
      </c>
      <c r="X70" s="35" t="s">
        <v>155</v>
      </c>
      <c r="Y70" s="35" t="s">
        <v>108</v>
      </c>
      <c r="Z70" s="35" t="s">
        <v>430</v>
      </c>
    </row>
    <row r="71" customFormat="false" ht="43.25" hidden="false" customHeight="false" outlineLevel="0" collapsed="false">
      <c r="A71" s="41" t="s">
        <v>431</v>
      </c>
      <c r="B71" s="42" t="s">
        <v>432</v>
      </c>
      <c r="C71" s="42" t="s">
        <v>433</v>
      </c>
      <c r="D71" s="42" t="s">
        <v>140</v>
      </c>
      <c r="E71" s="41" t="s">
        <v>106</v>
      </c>
      <c r="F71" s="54" t="n">
        <f aca="false">'Infraestrutura federal'!F5</f>
        <v>42</v>
      </c>
      <c r="G71" s="46" t="str">
        <f aca="false">'Infraestrutura federal'!G5</f>
        <v>não localizado após busca</v>
      </c>
      <c r="H71" s="46" t="str">
        <f aca="false">'Infraestrutura federal'!H5</f>
        <v>não se aplica – PAC extinto (Novo PAC só em 2023)</v>
      </c>
      <c r="I71" s="43" t="n">
        <f aca="false">'Infraestrutura federal'!I5</f>
        <v>49.8</v>
      </c>
      <c r="J71" s="44" t="n">
        <f aca="false">IFERROR(F71*FATOR_2016,"n.d.")</f>
        <v>65.1083987687669</v>
      </c>
      <c r="K71" s="44" t="str">
        <f aca="false">IFERROR(G71*FATOR_2019,"n.d.")</f>
        <v>n.d.</v>
      </c>
      <c r="L71" s="44" t="str">
        <f aca="false">IFERROR(H71*FATOR_2022,"n.d.")</f>
        <v>n.d.</v>
      </c>
      <c r="M71" s="45" t="str">
        <f aca="false">IFERROR(I71/G71-1,"n.d.")</f>
        <v>n.d.</v>
      </c>
      <c r="N71" s="45" t="n">
        <f aca="false">IFERROR(I71/J71-1,"n.d.")</f>
        <v>-0.235121720980035</v>
      </c>
      <c r="O71" s="45" t="str">
        <f aca="false">IFERROR(I71/K71-1,"n.d.")</f>
        <v>n.d.</v>
      </c>
      <c r="P71" s="45" t="str">
        <f aca="false">IFERROR(I71/L71-1,"n.d.")</f>
        <v>n.d.</v>
      </c>
      <c r="Q71" s="45" t="n">
        <f aca="false">IFERROR(F71/PIB_2016,"n.d.")</f>
        <v>0.00669928367111813</v>
      </c>
      <c r="R71" s="45" t="str">
        <f aca="false">IFERROR(G71/PIB_2019,"n.d.")</f>
        <v>n.d.</v>
      </c>
      <c r="S71" s="45" t="str">
        <f aca="false">IFERROR(H71/PIB_2022,"n.d.")</f>
        <v>n.d.</v>
      </c>
      <c r="T71" s="45" t="n">
        <f aca="false">IFERROR(I71/PIB_2025,"n.d.")</f>
        <v>0.00390938823098298</v>
      </c>
      <c r="U71" s="42" t="s">
        <v>434</v>
      </c>
      <c r="V71" s="42" t="s">
        <v>435</v>
      </c>
      <c r="W71" s="42" t="s">
        <v>436</v>
      </c>
      <c r="X71" s="42" t="s">
        <v>437</v>
      </c>
      <c r="Y71" s="42" t="s">
        <v>108</v>
      </c>
      <c r="Z71" s="42" t="s">
        <v>438</v>
      </c>
    </row>
    <row r="72" customFormat="false" ht="22.35" hidden="false" customHeight="false" outlineLevel="0" collapsed="false">
      <c r="A72" s="29" t="s">
        <v>439</v>
      </c>
      <c r="B72" s="30" t="s">
        <v>440</v>
      </c>
      <c r="C72" s="30" t="s">
        <v>441</v>
      </c>
      <c r="D72" s="30" t="s">
        <v>140</v>
      </c>
      <c r="E72" s="29" t="s">
        <v>106</v>
      </c>
      <c r="F72" s="31" t="n">
        <f aca="false">'Infraestrutura federal'!F9</f>
        <v>6.088</v>
      </c>
      <c r="G72" s="31" t="n">
        <f aca="false">'Infraestrutura federal'!G9</f>
        <v>6.31</v>
      </c>
      <c r="H72" s="31" t="n">
        <f aca="false">'Infraestrutura federal'!H9</f>
        <v>8.865</v>
      </c>
      <c r="I72" s="31" t="n">
        <f aca="false">'Infraestrutura federal'!I9</f>
        <v>12.65</v>
      </c>
      <c r="J72" s="32" t="n">
        <f aca="false">IFERROR(F72*FATOR_2016,"n.d.")</f>
        <v>9.43761742152983</v>
      </c>
      <c r="K72" s="32" t="n">
        <f aca="false">IFERROR(G72*FATOR_2019,"n.d.")</f>
        <v>8.78055728584183</v>
      </c>
      <c r="L72" s="32" t="n">
        <f aca="false">IFERROR(H72*FATOR_2022,"n.d.")</f>
        <v>10.1373576595321</v>
      </c>
      <c r="M72" s="33" t="n">
        <f aca="false">IFERROR(I72/G72-1,"n.d.")</f>
        <v>1.00475435816165</v>
      </c>
      <c r="N72" s="33" t="n">
        <f aca="false">IFERROR(I72/J72-1,"n.d.")</f>
        <v>0.340380673955042</v>
      </c>
      <c r="O72" s="33" t="n">
        <f aca="false">IFERROR(I72/K72-1,"n.d.")</f>
        <v>0.440683044161381</v>
      </c>
      <c r="P72" s="33" t="n">
        <f aca="false">IFERROR(I72/L72-1,"n.d.")</f>
        <v>0.247859691337349</v>
      </c>
      <c r="Q72" s="33" t="n">
        <f aca="false">IFERROR(F72/PIB_2016,"n.d.")</f>
        <v>0.00097107711880398</v>
      </c>
      <c r="R72" s="33" t="n">
        <f aca="false">IFERROR(G72/PIB_2019,"n.d.")</f>
        <v>0.000853956980868251</v>
      </c>
      <c r="S72" s="33" t="n">
        <f aca="false">IFERROR(H72/PIB_2022,"n.d.")</f>
        <v>0.000879492555117843</v>
      </c>
      <c r="T72" s="33" t="n">
        <f aca="false">IFERROR(I72/PIB_2025,"n.d.")</f>
        <v>0.000993047412087044</v>
      </c>
      <c r="U72" s="30" t="s">
        <v>235</v>
      </c>
      <c r="V72" s="30" t="s">
        <v>235</v>
      </c>
      <c r="W72" s="30" t="s">
        <v>235</v>
      </c>
      <c r="X72" s="30" t="s">
        <v>235</v>
      </c>
      <c r="Y72" s="30" t="s">
        <v>108</v>
      </c>
      <c r="Z72" s="30" t="s">
        <v>113</v>
      </c>
    </row>
    <row r="73" customFormat="false" ht="22.35" hidden="false" customHeight="false" outlineLevel="0" collapsed="false">
      <c r="A73" s="29" t="s">
        <v>442</v>
      </c>
      <c r="B73" s="30" t="s">
        <v>443</v>
      </c>
      <c r="C73" s="30" t="s">
        <v>444</v>
      </c>
      <c r="D73" s="30" t="s">
        <v>140</v>
      </c>
      <c r="E73" s="29" t="s">
        <v>106</v>
      </c>
      <c r="F73" s="31" t="n">
        <f aca="false">'Infraestrutura federal'!F13</f>
        <v>1.036</v>
      </c>
      <c r="G73" s="31" t="n">
        <f aca="false">'Infraestrutura federal'!G13</f>
        <v>0.51</v>
      </c>
      <c r="H73" s="31" t="n">
        <f aca="false">'Infraestrutura federal'!H13</f>
        <v>0.238</v>
      </c>
      <c r="I73" s="31" t="n">
        <f aca="false">'Infraestrutura federal'!I13</f>
        <v>0.06</v>
      </c>
      <c r="J73" s="32" t="n">
        <f aca="false">IFERROR(F73*FATOR_2016,"n.d.")</f>
        <v>1.60600716962958</v>
      </c>
      <c r="K73" s="32" t="n">
        <f aca="false">IFERROR(G73*FATOR_2019,"n.d.")</f>
        <v>0.709680541327945</v>
      </c>
      <c r="L73" s="32" t="n">
        <f aca="false">IFERROR(H73*FATOR_2022,"n.d.")</f>
        <v>0.272159179127877</v>
      </c>
      <c r="M73" s="33" t="n">
        <f aca="false">IFERROR(I73/G73-1,"n.d.")</f>
        <v>-0.882352941176471</v>
      </c>
      <c r="N73" s="33" t="n">
        <f aca="false">IFERROR(I73/J73-1,"n.d.")</f>
        <v>-0.962640266410617</v>
      </c>
      <c r="O73" s="33" t="n">
        <f aca="false">IFERROR(I73/K73-1,"n.d.")</f>
        <v>-0.915454917380532</v>
      </c>
      <c r="P73" s="33" t="n">
        <f aca="false">IFERROR(I73/L73-1,"n.d.")</f>
        <v>-0.779540781272682</v>
      </c>
      <c r="Q73" s="33" t="n">
        <f aca="false">IFERROR(F73/PIB_2016,"n.d.")</f>
        <v>0.000165248997220914</v>
      </c>
      <c r="R73" s="33" t="n">
        <f aca="false">IFERROR(G73/PIB_2019,"n.d.")</f>
        <v>6.90202948086859E-005</v>
      </c>
      <c r="S73" s="33" t="n">
        <f aca="false">IFERROR(H73/PIB_2022,"n.d.")</f>
        <v>2.36118700640775E-005</v>
      </c>
      <c r="T73" s="33" t="n">
        <f aca="false">IFERROR(I73/PIB_2025,"n.d.")</f>
        <v>4.71010630238914E-006</v>
      </c>
      <c r="U73" s="30" t="s">
        <v>235</v>
      </c>
      <c r="V73" s="30" t="s">
        <v>235</v>
      </c>
      <c r="W73" s="30" t="s">
        <v>235</v>
      </c>
      <c r="X73" s="30" t="s">
        <v>235</v>
      </c>
      <c r="Y73" s="30" t="s">
        <v>108</v>
      </c>
      <c r="Z73" s="30" t="s">
        <v>113</v>
      </c>
    </row>
    <row r="74" customFormat="false" ht="32.8" hidden="false" customHeight="false" outlineLevel="0" collapsed="false">
      <c r="A74" s="29" t="s">
        <v>445</v>
      </c>
      <c r="B74" s="30" t="s">
        <v>446</v>
      </c>
      <c r="C74" s="30" t="s">
        <v>447</v>
      </c>
      <c r="D74" s="30" t="s">
        <v>140</v>
      </c>
      <c r="E74" s="29" t="s">
        <v>106</v>
      </c>
      <c r="F74" s="31" t="n">
        <f aca="false">'Infraestrutura federal'!F17</f>
        <v>0.585</v>
      </c>
      <c r="G74" s="31" t="n">
        <f aca="false">'Infraestrutura federal'!G17</f>
        <v>0.87</v>
      </c>
      <c r="H74" s="31" t="n">
        <f aca="false">'Infraestrutura federal'!H17</f>
        <v>0.192</v>
      </c>
      <c r="I74" s="31" t="n">
        <f aca="false">'Infraestrutura federal'!I17</f>
        <v>0.45</v>
      </c>
      <c r="J74" s="32" t="n">
        <f aca="false">IFERROR(F74*FATOR_2016,"n.d.")</f>
        <v>0.906866982850682</v>
      </c>
      <c r="K74" s="32" t="n">
        <f aca="false">IFERROR(G74*FATOR_2019,"n.d.")</f>
        <v>1.21063151167708</v>
      </c>
      <c r="L74" s="32" t="n">
        <f aca="false">IFERROR(H74*FATOR_2022,"n.d.")</f>
        <v>0.219556984842657</v>
      </c>
      <c r="M74" s="33" t="n">
        <f aca="false">IFERROR(I74/G74-1,"n.d.")</f>
        <v>-0.482758620689655</v>
      </c>
      <c r="N74" s="33" t="n">
        <f aca="false">IFERROR(I74/J74-1,"n.d.")</f>
        <v>-0.503786102582043</v>
      </c>
      <c r="O74" s="33" t="n">
        <f aca="false">IFERROR(I74/K74-1,"n.d.")</f>
        <v>-0.628293171241994</v>
      </c>
      <c r="P74" s="33" t="n">
        <f aca="false">IFERROR(I74/L74-1,"n.d.")</f>
        <v>1.04958179910553</v>
      </c>
      <c r="Q74" s="33" t="n">
        <f aca="false">IFERROR(F74/PIB_2016,"n.d.")</f>
        <v>9.33114511334311E-005</v>
      </c>
      <c r="R74" s="33" t="n">
        <f aca="false">IFERROR(G74/PIB_2019,"n.d.")</f>
        <v>0.000117740502908935</v>
      </c>
      <c r="S74" s="33" t="n">
        <f aca="false">IFERROR(H74/PIB_2022,"n.d.")</f>
        <v>1.90482313121969E-005</v>
      </c>
      <c r="T74" s="33" t="n">
        <f aca="false">IFERROR(I74/PIB_2025,"n.d.")</f>
        <v>3.53257972679185E-005</v>
      </c>
      <c r="U74" s="30" t="s">
        <v>235</v>
      </c>
      <c r="V74" s="30" t="s">
        <v>235</v>
      </c>
      <c r="W74" s="30" t="s">
        <v>235</v>
      </c>
      <c r="X74" s="30" t="s">
        <v>235</v>
      </c>
      <c r="Y74" s="30" t="s">
        <v>108</v>
      </c>
      <c r="Z74" s="30" t="s">
        <v>113</v>
      </c>
    </row>
    <row r="75" customFormat="false" ht="22.35" hidden="false" customHeight="false" outlineLevel="0" collapsed="false">
      <c r="A75" s="29" t="s">
        <v>448</v>
      </c>
      <c r="B75" s="30" t="s">
        <v>449</v>
      </c>
      <c r="C75" s="30" t="s">
        <v>450</v>
      </c>
      <c r="D75" s="30" t="s">
        <v>140</v>
      </c>
      <c r="E75" s="29" t="s">
        <v>106</v>
      </c>
      <c r="F75" s="31" t="n">
        <f aca="false">'Infraestrutura federal'!F21</f>
        <v>0.065</v>
      </c>
      <c r="G75" s="31" t="n">
        <f aca="false">'Infraestrutura federal'!G21</f>
        <v>0.16</v>
      </c>
      <c r="H75" s="31" t="n">
        <f aca="false">'Infraestrutura federal'!H21</f>
        <v>0.121</v>
      </c>
      <c r="I75" s="31" t="n">
        <f aca="false">'Infraestrutura federal'!I21</f>
        <v>0.19</v>
      </c>
      <c r="J75" s="32" t="n">
        <f aca="false">IFERROR(F75*FATOR_2016,"n.d.")</f>
        <v>0.10076299809452</v>
      </c>
      <c r="K75" s="32" t="n">
        <f aca="false">IFERROR(G75*FATOR_2019,"n.d.")</f>
        <v>0.222644875710728</v>
      </c>
      <c r="L75" s="32" t="n">
        <f aca="false">IFERROR(H75*FATOR_2022,"n.d.")</f>
        <v>0.138366641489383</v>
      </c>
      <c r="M75" s="33" t="n">
        <f aca="false">IFERROR(I75/G75-1,"n.d.")</f>
        <v>0.1875</v>
      </c>
      <c r="N75" s="33" t="n">
        <f aca="false">IFERROR(I75/J75-1,"n.d.")</f>
        <v>0.885612810188235</v>
      </c>
      <c r="O75" s="33" t="n">
        <f aca="false">IFERROR(I75/K75-1,"n.d.")</f>
        <v>-0.146623072309743</v>
      </c>
      <c r="P75" s="33" t="n">
        <f aca="false">IFERROR(I75/L75-1,"n.d.")</f>
        <v>0.373163343092192</v>
      </c>
      <c r="Q75" s="33" t="n">
        <f aca="false">IFERROR(F75/PIB_2016,"n.d.")</f>
        <v>1.03679390148257E-005</v>
      </c>
      <c r="R75" s="33" t="n">
        <f aca="false">IFERROR(G75/PIB_2019,"n.d.")</f>
        <v>2.16534258223328E-005</v>
      </c>
      <c r="S75" s="33" t="n">
        <f aca="false">IFERROR(H75/PIB_2022,"n.d.")</f>
        <v>1.20043541082074E-005</v>
      </c>
      <c r="T75" s="33" t="n">
        <f aca="false">IFERROR(I75/PIB_2025,"n.d.")</f>
        <v>1.49153366242323E-005</v>
      </c>
      <c r="U75" s="30" t="s">
        <v>235</v>
      </c>
      <c r="V75" s="30" t="s">
        <v>235</v>
      </c>
      <c r="W75" s="30" t="s">
        <v>235</v>
      </c>
      <c r="X75" s="30" t="s">
        <v>235</v>
      </c>
      <c r="Y75" s="30" t="s">
        <v>108</v>
      </c>
      <c r="Z75" s="30" t="s">
        <v>113</v>
      </c>
    </row>
    <row r="76" customFormat="false" ht="22.35" hidden="false" customHeight="false" outlineLevel="0" collapsed="false">
      <c r="A76" s="29" t="s">
        <v>451</v>
      </c>
      <c r="B76" s="30" t="s">
        <v>452</v>
      </c>
      <c r="C76" s="30" t="s">
        <v>453</v>
      </c>
      <c r="D76" s="30" t="s">
        <v>140</v>
      </c>
      <c r="E76" s="29" t="s">
        <v>106</v>
      </c>
      <c r="F76" s="31" t="n">
        <f aca="false">'Infraestrutura federal'!F25</f>
        <v>0.564</v>
      </c>
      <c r="G76" s="31" t="n">
        <f aca="false">'Infraestrutura federal'!G25</f>
        <v>0.51</v>
      </c>
      <c r="H76" s="31" t="n">
        <f aca="false">'Infraestrutura federal'!H25</f>
        <v>0.763</v>
      </c>
      <c r="I76" s="31" t="n">
        <f aca="false">'Infraestrutura federal'!I25</f>
        <v>0.79</v>
      </c>
      <c r="J76" s="32" t="n">
        <f aca="false">IFERROR(F76*FATOR_2016,"n.d.")</f>
        <v>0.874312783466298</v>
      </c>
      <c r="K76" s="32" t="n">
        <f aca="false">IFERROR(G76*FATOR_2019,"n.d.")</f>
        <v>0.709680541327945</v>
      </c>
      <c r="L76" s="32" t="n">
        <f aca="false">IFERROR(H76*FATOR_2022,"n.d.")</f>
        <v>0.872510309557019</v>
      </c>
      <c r="M76" s="33" t="n">
        <f aca="false">IFERROR(I76/G76-1,"n.d.")</f>
        <v>0.549019607843137</v>
      </c>
      <c r="N76" s="33" t="n">
        <f aca="false">IFERROR(I76/J76-1,"n.d.")</f>
        <v>-0.0964332045243944</v>
      </c>
      <c r="O76" s="33" t="n">
        <f aca="false">IFERROR(I76/K76-1,"n.d.")</f>
        <v>0.113176921156331</v>
      </c>
      <c r="P76" s="33" t="n">
        <f aca="false">IFERROR(I76/L76-1,"n.d.")</f>
        <v>-0.0945665726275601</v>
      </c>
      <c r="Q76" s="33" t="n">
        <f aca="false">IFERROR(F76/PIB_2016,"n.d.")</f>
        <v>8.9961809297872E-005</v>
      </c>
      <c r="R76" s="33" t="n">
        <f aca="false">IFERROR(G76/PIB_2019,"n.d.")</f>
        <v>6.90202948086859E-005</v>
      </c>
      <c r="S76" s="33" t="n">
        <f aca="false">IFERROR(H76/PIB_2022,"n.d.")</f>
        <v>7.5696877558366E-005</v>
      </c>
      <c r="T76" s="33" t="n">
        <f aca="false">IFERROR(I76/PIB_2025,"n.d.")</f>
        <v>6.20163996481237E-005</v>
      </c>
      <c r="U76" s="30" t="s">
        <v>235</v>
      </c>
      <c r="V76" s="30" t="s">
        <v>235</v>
      </c>
      <c r="W76" s="30" t="s">
        <v>235</v>
      </c>
      <c r="X76" s="30" t="s">
        <v>235</v>
      </c>
      <c r="Y76" s="30" t="s">
        <v>108</v>
      </c>
      <c r="Z76" s="30" t="s">
        <v>113</v>
      </c>
    </row>
    <row r="77" customFormat="false" ht="32.8" hidden="false" customHeight="false" outlineLevel="0" collapsed="false">
      <c r="A77" s="29" t="s">
        <v>454</v>
      </c>
      <c r="B77" s="30" t="s">
        <v>455</v>
      </c>
      <c r="C77" s="30" t="s">
        <v>456</v>
      </c>
      <c r="D77" s="30" t="s">
        <v>140</v>
      </c>
      <c r="E77" s="29" t="s">
        <v>106</v>
      </c>
      <c r="F77" s="31" t="n">
        <f aca="false">'Infraestrutura federal'!F30</f>
        <v>0.834</v>
      </c>
      <c r="G77" s="31" t="n">
        <f aca="false">'Infraestrutura federal'!G30</f>
        <v>0.58</v>
      </c>
      <c r="H77" s="31" t="n">
        <f aca="false">'Infraestrutura federal'!H30</f>
        <v>0.593</v>
      </c>
      <c r="I77" s="31" t="n">
        <f aca="false">'Infraestrutura federal'!I30</f>
        <v>0.86</v>
      </c>
      <c r="J77" s="32" t="n">
        <f aca="false">IFERROR(F77*FATOR_2016,"n.d.")</f>
        <v>1.29286677555123</v>
      </c>
      <c r="K77" s="32" t="n">
        <f aca="false">IFERROR(G77*FATOR_2019,"n.d.")</f>
        <v>0.807087674451389</v>
      </c>
      <c r="L77" s="32" t="n">
        <f aca="false">IFERROR(H77*FATOR_2022,"n.d.")</f>
        <v>0.678110895894249</v>
      </c>
      <c r="M77" s="33" t="n">
        <f aca="false">IFERROR(I77/G77-1,"n.d.")</f>
        <v>0.482758620689655</v>
      </c>
      <c r="N77" s="33" t="n">
        <f aca="false">IFERROR(I77/J77-1,"n.d.")</f>
        <v>-0.334811585955305</v>
      </c>
      <c r="O77" s="33" t="n">
        <f aca="false">IFERROR(I77/K77-1,"n.d.")</f>
        <v>0.0655595757729521</v>
      </c>
      <c r="P77" s="33" t="n">
        <f aca="false">IFERROR(I77/L77-1,"n.d.")</f>
        <v>0.268229142470697</v>
      </c>
      <c r="Q77" s="33" t="n">
        <f aca="false">IFERROR(F77/PIB_2016,"n.d.")</f>
        <v>0.000133028632897917</v>
      </c>
      <c r="R77" s="33" t="n">
        <f aca="false">IFERROR(G77/PIB_2019,"n.d.")</f>
        <v>7.84936686059565E-005</v>
      </c>
      <c r="S77" s="33" t="n">
        <f aca="false">IFERROR(H77/PIB_2022,"n.d.")</f>
        <v>5.88312560840249E-005</v>
      </c>
      <c r="T77" s="33" t="n">
        <f aca="false">IFERROR(I77/PIB_2025,"n.d.")</f>
        <v>6.75115236675776E-005</v>
      </c>
      <c r="U77" s="30" t="s">
        <v>235</v>
      </c>
      <c r="V77" s="30" t="s">
        <v>235</v>
      </c>
      <c r="W77" s="30" t="s">
        <v>235</v>
      </c>
      <c r="X77" s="30" t="s">
        <v>235</v>
      </c>
      <c r="Y77" s="30" t="s">
        <v>108</v>
      </c>
      <c r="Z77" s="30" t="s">
        <v>113</v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4" t="s">
        <v>457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19" t="s">
        <v>458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19" t="s">
        <v>459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19" t="s">
        <v>460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19" t="s">
        <v>461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19" t="s">
        <v>462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19" t="s">
        <v>463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19" t="s">
        <v>464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19" t="s">
        <v>465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19" t="s">
        <v>466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</sheetData>
  <autoFilter ref="A3:Z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468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22.35" hidden="false" customHeight="false" outlineLevel="0" collapsed="false">
      <c r="A4" s="30" t="s">
        <v>102</v>
      </c>
      <c r="B4" s="30" t="s">
        <v>484</v>
      </c>
      <c r="C4" s="30" t="s">
        <v>104</v>
      </c>
      <c r="D4" s="30" t="s">
        <v>105</v>
      </c>
      <c r="E4" s="30" t="s">
        <v>106</v>
      </c>
      <c r="F4" s="55" t="n">
        <v>6269.327</v>
      </c>
      <c r="G4" s="55" t="n">
        <v>7389.131</v>
      </c>
      <c r="H4" s="55" t="n">
        <v>10079.676</v>
      </c>
      <c r="I4" s="55" t="n">
        <v>12738.566</v>
      </c>
      <c r="J4" s="32" t="n">
        <f aca="false">IFERROR(F4*FATOR_2016,"n.d.")</f>
        <v>9718.71053161422</v>
      </c>
      <c r="K4" s="32" t="n">
        <f aca="false">IFERROR(G4*FATOR_2019,"n.d.")</f>
        <v>10282.200956908</v>
      </c>
      <c r="L4" s="32" t="n">
        <f aca="false">IFERROR(H4*FATOR_2022,"n.d.")</f>
        <v>11526.3712018276</v>
      </c>
      <c r="M4" s="33" t="n">
        <f aca="false">IFERROR(K4/J4-1,"n.d.")</f>
        <v>0.0579799576765698</v>
      </c>
      <c r="N4" s="33" t="n">
        <f aca="false">IFERROR(L4/K4-1,"n.d.")</f>
        <v>0.121002327238475</v>
      </c>
      <c r="O4" s="33" t="n">
        <f aca="false">IFERROR(I4/L4-1,"n.d.")</f>
        <v>0.105167079642568</v>
      </c>
      <c r="P4" s="33" t="n">
        <f aca="false">IFERROR(I4/J4-1,"n.d.")</f>
        <v>0.31072594029449</v>
      </c>
      <c r="Q4" s="32" t="n">
        <f aca="false">IFERROR(I4-F4,"n.d.")</f>
        <v>6469.239</v>
      </c>
      <c r="R4" s="32" t="n">
        <f aca="false">IFERROR(I4-G4,"n.d.")</f>
        <v>5349.435</v>
      </c>
      <c r="S4" s="33" t="n">
        <f aca="false">IFERROR(F4/PIB_2016,"n.d.")</f>
        <v>1</v>
      </c>
      <c r="T4" s="33" t="n">
        <f aca="false">IFERROR(G4/PIB_2019,"n.d.")</f>
        <v>1</v>
      </c>
      <c r="U4" s="33" t="n">
        <f aca="false">IFERROR(H4/PIB_2022,"n.d.")</f>
        <v>1</v>
      </c>
      <c r="V4" s="33" t="n">
        <f aca="false">IFERROR(I4/PIB_2025,"n.d.")</f>
        <v>1</v>
      </c>
      <c r="W4" s="30" t="s">
        <v>107</v>
      </c>
      <c r="X4" s="30" t="s">
        <v>107</v>
      </c>
      <c r="Y4" s="30" t="s">
        <v>107</v>
      </c>
      <c r="Z4" s="30" t="s">
        <v>107</v>
      </c>
      <c r="AA4" s="30" t="s">
        <v>50</v>
      </c>
      <c r="AB4" s="30" t="s">
        <v>485</v>
      </c>
    </row>
    <row r="5" customFormat="false" ht="15" hidden="false" customHeight="false" outlineLevel="0" collapsed="false">
      <c r="A5" s="30" t="s">
        <v>486</v>
      </c>
      <c r="B5" s="30" t="s">
        <v>487</v>
      </c>
      <c r="C5" s="30" t="s">
        <v>488</v>
      </c>
      <c r="D5" s="30" t="s">
        <v>105</v>
      </c>
      <c r="E5" s="30" t="s">
        <v>106</v>
      </c>
      <c r="F5" s="55" t="n">
        <v>5419.822</v>
      </c>
      <c r="G5" s="55" t="n">
        <v>6356.683</v>
      </c>
      <c r="H5" s="55" t="n">
        <v>8736.476</v>
      </c>
      <c r="I5" s="55" t="n">
        <v>10951.982</v>
      </c>
      <c r="J5" s="32" t="n">
        <f aca="false">IFERROR(F5*FATOR_2016,"n.d.")</f>
        <v>8401.80790551752</v>
      </c>
      <c r="K5" s="32" t="n">
        <f aca="false">IFERROR(G5*FATOR_2019,"n.d.")</f>
        <v>8845.51810292186</v>
      </c>
      <c r="L5" s="32" t="n">
        <f aca="false">IFERROR(H5*FATOR_2022,"n.d.")</f>
        <v>9990.38712869917</v>
      </c>
      <c r="M5" s="33" t="n">
        <f aca="false">IFERROR(K5/J5-1,"n.d.")</f>
        <v>0.0528112761436679</v>
      </c>
      <c r="N5" s="33" t="n">
        <f aca="false">IFERROR(L5/K5-1,"n.d.")</f>
        <v>0.129429278472579</v>
      </c>
      <c r="O5" s="33" t="n">
        <f aca="false">IFERROR(I5/L5-1,"n.d.")</f>
        <v>0.0962520129513778</v>
      </c>
      <c r="P5" s="33" t="n">
        <f aca="false">IFERROR(I5/J5-1,"n.d.")</f>
        <v>0.303526826983008</v>
      </c>
      <c r="Q5" s="32" t="n">
        <f aca="false">IFERROR(I5-F5,"n.d.")</f>
        <v>5532.16</v>
      </c>
      <c r="R5" s="32" t="n">
        <f aca="false">IFERROR(I5-G5,"n.d.")</f>
        <v>4595.299</v>
      </c>
      <c r="S5" s="33" t="n">
        <f aca="false">IFERROR(F5/PIB_2016,"n.d.")</f>
        <v>0.864498214880162</v>
      </c>
      <c r="T5" s="33" t="n">
        <f aca="false">IFERROR(G5/PIB_2019,"n.d.")</f>
        <v>0.860274773853651</v>
      </c>
      <c r="U5" s="33" t="n">
        <f aca="false">IFERROR(H5/PIB_2022,"n.d.")</f>
        <v>0.866741748445089</v>
      </c>
      <c r="V5" s="33" t="n">
        <f aca="false">IFERROR(I5/PIB_2025,"n.d.")</f>
        <v>0.85974999069754</v>
      </c>
      <c r="W5" s="30" t="s">
        <v>107</v>
      </c>
      <c r="X5" s="30" t="s">
        <v>107</v>
      </c>
      <c r="Y5" s="30" t="s">
        <v>107</v>
      </c>
      <c r="Z5" s="30" t="s">
        <v>107</v>
      </c>
      <c r="AA5" s="30" t="s">
        <v>50</v>
      </c>
      <c r="AB5" s="30" t="s">
        <v>489</v>
      </c>
    </row>
    <row r="6" customFormat="false" ht="15" hidden="false" customHeight="false" outlineLevel="0" collapsed="false">
      <c r="A6" s="30" t="s">
        <v>490</v>
      </c>
      <c r="B6" s="30" t="s">
        <v>491</v>
      </c>
      <c r="C6" s="30" t="s">
        <v>492</v>
      </c>
      <c r="D6" s="30" t="s">
        <v>105</v>
      </c>
      <c r="E6" s="30" t="s">
        <v>106</v>
      </c>
      <c r="F6" s="55" t="n">
        <v>139.321357653</v>
      </c>
      <c r="G6" s="55" t="n">
        <v>1032.447</v>
      </c>
      <c r="H6" s="55" t="n">
        <v>272.610686946</v>
      </c>
      <c r="I6" s="55" t="n">
        <v>1786.584</v>
      </c>
      <c r="J6" s="32" t="n">
        <f aca="false">IFERROR(F6*FATOR_2016,"n.d.")</f>
        <v>215.975964549465</v>
      </c>
      <c r="K6" s="32" t="n">
        <f aca="false">IFERROR(G6*FATOR_2019,"n.d.")</f>
        <v>1436.68146245571</v>
      </c>
      <c r="L6" s="32" t="n">
        <f aca="false">IFERROR(H6*FATOR_2022,"n.d.")</f>
        <v>311.737398238278</v>
      </c>
      <c r="M6" s="33" t="n">
        <f aca="false">IFERROR(K6/J6-1,"n.d.")</f>
        <v>5.65204327459628</v>
      </c>
      <c r="N6" s="33" t="n">
        <f aca="false">IFERROR(L6/K6-1,"n.d.")</f>
        <v>-0.783015646554368</v>
      </c>
      <c r="O6" s="33" t="n">
        <f aca="false">IFERROR(I6/L6-1,"n.d.")</f>
        <v>4.73105443907765</v>
      </c>
      <c r="P6" s="33" t="n">
        <f aca="false">IFERROR(I6/J6-1,"n.d.")</f>
        <v>7.27214270683727</v>
      </c>
      <c r="Q6" s="32" t="n">
        <f aca="false">IFERROR(I6-F6,"n.d.")</f>
        <v>1647.262642347</v>
      </c>
      <c r="R6" s="32" t="n">
        <f aca="false">IFERROR(I6-G6,"n.d.")</f>
        <v>754.137</v>
      </c>
      <c r="S6" s="33" t="n">
        <f aca="false">IFERROR(F6/PIB_2016,"n.d.")</f>
        <v>0.0222226975324465</v>
      </c>
      <c r="T6" s="33" t="n">
        <f aca="false">IFERROR(G6/PIB_2019,"n.d.")</f>
        <v>0.139725090812438</v>
      </c>
      <c r="U6" s="33" t="n">
        <f aca="false">IFERROR(H6/PIB_2022,"n.d.")</f>
        <v>0.0270455803287725</v>
      </c>
      <c r="V6" s="33" t="n">
        <f aca="false">IFERROR(I6/PIB_2025,"n.d.")</f>
        <v>0.14025000930246</v>
      </c>
      <c r="W6" s="30" t="s">
        <v>413</v>
      </c>
      <c r="X6" s="30" t="s">
        <v>107</v>
      </c>
      <c r="Y6" s="30" t="s">
        <v>413</v>
      </c>
      <c r="Z6" s="30" t="s">
        <v>107</v>
      </c>
      <c r="AA6" s="30" t="s">
        <v>50</v>
      </c>
      <c r="AB6" s="30" t="s">
        <v>436</v>
      </c>
    </row>
    <row r="7" customFormat="false" ht="15" hidden="false" customHeight="false" outlineLevel="0" collapsed="false">
      <c r="A7" s="30" t="s">
        <v>110</v>
      </c>
      <c r="B7" s="30" t="s">
        <v>493</v>
      </c>
      <c r="C7" s="30" t="s">
        <v>112</v>
      </c>
      <c r="D7" s="30" t="s">
        <v>105</v>
      </c>
      <c r="E7" s="30" t="s">
        <v>106</v>
      </c>
      <c r="F7" s="55" t="n">
        <v>306.654</v>
      </c>
      <c r="G7" s="55" t="n">
        <v>310.714</v>
      </c>
      <c r="H7" s="55" t="n">
        <v>581.343</v>
      </c>
      <c r="I7" s="55" t="n">
        <v>775.297</v>
      </c>
      <c r="J7" s="32" t="n">
        <f aca="false">IFERROR(F7*FATOR_2016,"n.d.")</f>
        <v>475.375021810415</v>
      </c>
      <c r="K7" s="32" t="n">
        <f aca="false">IFERROR(G7*FATOR_2019,"n.d.")</f>
        <v>432.367999447394</v>
      </c>
      <c r="L7" s="32" t="n">
        <f aca="false">IFERROR(H7*FATOR_2022,"n.d.")</f>
        <v>664.780813746797</v>
      </c>
      <c r="M7" s="33" t="n">
        <f aca="false">IFERROR(K7/J7-1,"n.d.")</f>
        <v>-0.0904696721321899</v>
      </c>
      <c r="N7" s="33" t="n">
        <f aca="false">IFERROR(L7/K7-1,"n.d.")</f>
        <v>0.537534726428522</v>
      </c>
      <c r="O7" s="33" t="n">
        <f aca="false">IFERROR(I7/L7-1,"n.d.")</f>
        <v>0.166244548530693</v>
      </c>
      <c r="P7" s="33" t="n">
        <f aca="false">IFERROR(I7/J7-1,"n.d.")</f>
        <v>0.630916569926968</v>
      </c>
      <c r="Q7" s="32" t="n">
        <f aca="false">IFERROR(I7-F7,"n.d.")</f>
        <v>468.643</v>
      </c>
      <c r="R7" s="32" t="n">
        <f aca="false">IFERROR(I7-G7,"n.d.")</f>
        <v>464.583</v>
      </c>
      <c r="S7" s="33" t="n">
        <f aca="false">IFERROR(F7/PIB_2016,"n.d.")</f>
        <v>0.0489133841638823</v>
      </c>
      <c r="T7" s="33" t="n">
        <f aca="false">IFERROR(G7/PIB_2019,"n.d.")</f>
        <v>0.042050140943502</v>
      </c>
      <c r="U7" s="33" t="n">
        <f aca="false">IFERROR(H7/PIB_2022,"n.d.")</f>
        <v>0.0576747704985756</v>
      </c>
      <c r="V7" s="33" t="n">
        <f aca="false">IFERROR(I7/PIB_2025,"n.d.")</f>
        <v>0.0608621880987232</v>
      </c>
      <c r="W7" s="30" t="s">
        <v>107</v>
      </c>
      <c r="X7" s="30" t="s">
        <v>107</v>
      </c>
      <c r="Y7" s="30" t="s">
        <v>107</v>
      </c>
      <c r="Z7" s="30" t="s">
        <v>107</v>
      </c>
      <c r="AA7" s="30" t="s">
        <v>50</v>
      </c>
      <c r="AB7" s="30" t="s">
        <v>436</v>
      </c>
    </row>
    <row r="8" customFormat="false" ht="15" hidden="false" customHeight="false" outlineLevel="0" collapsed="false">
      <c r="A8" s="30" t="s">
        <v>114</v>
      </c>
      <c r="B8" s="30" t="s">
        <v>494</v>
      </c>
      <c r="C8" s="30" t="s">
        <v>116</v>
      </c>
      <c r="D8" s="30" t="s">
        <v>105</v>
      </c>
      <c r="E8" s="30" t="s">
        <v>106</v>
      </c>
      <c r="F8" s="55" t="n">
        <v>1150.72</v>
      </c>
      <c r="G8" s="55" t="n">
        <v>1385.804</v>
      </c>
      <c r="H8" s="55" t="n">
        <v>2300.127</v>
      </c>
      <c r="I8" s="55" t="n">
        <v>2566.814</v>
      </c>
      <c r="J8" s="32" t="n">
        <f aca="false">IFERROR(F8*FATOR_2016,"n.d.")</f>
        <v>1783.84611026656</v>
      </c>
      <c r="K8" s="32" t="n">
        <f aca="false">IFERROR(G8*FATOR_2019,"n.d.")</f>
        <v>1928.38849587143</v>
      </c>
      <c r="L8" s="32" t="n">
        <f aca="false">IFERROR(H8*FATOR_2022,"n.d.")</f>
        <v>2630.25494205827</v>
      </c>
      <c r="M8" s="33" t="n">
        <f aca="false">IFERROR(K8/J8-1,"n.d.")</f>
        <v>0.0810285061996061</v>
      </c>
      <c r="N8" s="33" t="n">
        <f aca="false">IFERROR(L8/K8-1,"n.d.")</f>
        <v>0.363965273434002</v>
      </c>
      <c r="O8" s="33" t="n">
        <f aca="false">IFERROR(I8/L8-1,"n.d.")</f>
        <v>-0.0241196931308192</v>
      </c>
      <c r="P8" s="33" t="n">
        <f aca="false">IFERROR(I8/J8-1,"n.d.")</f>
        <v>0.438921208072396</v>
      </c>
      <c r="Q8" s="32" t="n">
        <f aca="false">IFERROR(I8-F8,"n.d.")</f>
        <v>1416.094</v>
      </c>
      <c r="R8" s="32" t="n">
        <f aca="false">IFERROR(I8-G8,"n.d.")</f>
        <v>1181.01</v>
      </c>
      <c r="S8" s="33" t="n">
        <f aca="false">IFERROR(F8/PIB_2016,"n.d.")</f>
        <v>0.183547612048311</v>
      </c>
      <c r="T8" s="33" t="n">
        <f aca="false">IFERROR(G8/PIB_2019,"n.d.")</f>
        <v>0.187546275739326</v>
      </c>
      <c r="U8" s="33" t="n">
        <f aca="false">IFERROR(H8/PIB_2022,"n.d.")</f>
        <v>0.228194537205363</v>
      </c>
      <c r="V8" s="33" t="n">
        <f aca="false">IFERROR(I8/PIB_2025,"n.d.")</f>
        <v>0.201499446641011</v>
      </c>
      <c r="W8" s="30" t="s">
        <v>107</v>
      </c>
      <c r="X8" s="30" t="s">
        <v>107</v>
      </c>
      <c r="Y8" s="30" t="s">
        <v>107</v>
      </c>
      <c r="Z8" s="30" t="s">
        <v>107</v>
      </c>
      <c r="AA8" s="30" t="s">
        <v>50</v>
      </c>
      <c r="AB8" s="30" t="s">
        <v>495</v>
      </c>
    </row>
    <row r="9" customFormat="false" ht="15" hidden="false" customHeight="false" outlineLevel="0" collapsed="false">
      <c r="A9" s="30" t="s">
        <v>496</v>
      </c>
      <c r="B9" s="30" t="s">
        <v>497</v>
      </c>
      <c r="C9" s="30" t="s">
        <v>123</v>
      </c>
      <c r="D9" s="30" t="s">
        <v>105</v>
      </c>
      <c r="E9" s="30" t="s">
        <v>106</v>
      </c>
      <c r="F9" s="55" t="n">
        <v>55.575</v>
      </c>
      <c r="G9" s="55" t="n">
        <v>182.817</v>
      </c>
      <c r="H9" s="55" t="n">
        <v>476.676</v>
      </c>
      <c r="I9" s="55" t="n">
        <v>403.599</v>
      </c>
      <c r="J9" s="32" t="n">
        <f aca="false">IFERROR(F9*FATOR_2016,"n.d.")</f>
        <v>86.1523633708148</v>
      </c>
      <c r="K9" s="32" t="n">
        <f aca="false">IFERROR(G9*FATOR_2019,"n.d.")</f>
        <v>254.395426517551</v>
      </c>
      <c r="L9" s="32" t="n">
        <f aca="false">IFERROR(H9*FATOR_2022,"n.d.")</f>
        <v>545.091381806555</v>
      </c>
      <c r="M9" s="33" t="n">
        <f aca="false">IFERROR(K9/J9-1,"n.d.")</f>
        <v>1.95285487900766</v>
      </c>
      <c r="N9" s="33" t="n">
        <f aca="false">IFERROR(L9/K9-1,"n.d.")</f>
        <v>1.14269332302226</v>
      </c>
      <c r="O9" s="33" t="n">
        <f aca="false">IFERROR(I9/L9-1,"n.d.")</f>
        <v>-0.259575525369008</v>
      </c>
      <c r="P9" s="33" t="n">
        <f aca="false">IFERROR(I9/J9-1,"n.d.")</f>
        <v>3.68471187798807</v>
      </c>
      <c r="Q9" s="32" t="n">
        <f aca="false">IFERROR(I9-F9,"n.d.")</f>
        <v>348.024</v>
      </c>
      <c r="R9" s="32" t="n">
        <f aca="false">IFERROR(I9-G9,"n.d.")</f>
        <v>220.782</v>
      </c>
      <c r="S9" s="33" t="n">
        <f aca="false">IFERROR(F9/PIB_2016,"n.d.")</f>
        <v>0.00886458785767595</v>
      </c>
      <c r="T9" s="33" t="n">
        <f aca="false">IFERROR(G9/PIB_2019,"n.d.")</f>
        <v>0.0247413396785089</v>
      </c>
      <c r="U9" s="33" t="n">
        <f aca="false">IFERROR(H9/PIB_2022,"n.d.")</f>
        <v>0.0472908057758999</v>
      </c>
      <c r="V9" s="33" t="n">
        <f aca="false">IFERROR(I9/PIB_2025,"n.d.")</f>
        <v>0.0316832365589659</v>
      </c>
      <c r="W9" s="30" t="s">
        <v>107</v>
      </c>
      <c r="X9" s="30" t="s">
        <v>107</v>
      </c>
      <c r="Y9" s="30" t="s">
        <v>107</v>
      </c>
      <c r="Z9" s="30" t="s">
        <v>107</v>
      </c>
      <c r="AA9" s="30" t="s">
        <v>50</v>
      </c>
      <c r="AB9" s="30" t="s">
        <v>436</v>
      </c>
    </row>
    <row r="10" customFormat="false" ht="15" hidden="false" customHeight="false" outlineLevel="0" collapsed="false">
      <c r="A10" s="30" t="s">
        <v>498</v>
      </c>
      <c r="B10" s="30" t="s">
        <v>499</v>
      </c>
      <c r="C10" s="30" t="s">
        <v>123</v>
      </c>
      <c r="D10" s="30" t="s">
        <v>105</v>
      </c>
      <c r="E10" s="30" t="s">
        <v>106</v>
      </c>
      <c r="F10" s="55" t="n">
        <v>676.238</v>
      </c>
      <c r="G10" s="55" t="n">
        <v>763.482</v>
      </c>
      <c r="H10" s="55" t="n">
        <v>1317.826</v>
      </c>
      <c r="I10" s="55" t="n">
        <v>1499.618</v>
      </c>
      <c r="J10" s="32" t="n">
        <f aca="false">IFERROR(F10*FATOR_2016,"n.d.")</f>
        <v>1048.30412777603</v>
      </c>
      <c r="K10" s="32" t="n">
        <f aca="false">IFERROR(G10*FATOR_2019,"n.d.")</f>
        <v>1062.40846873361</v>
      </c>
      <c r="L10" s="32" t="n">
        <f aca="false">IFERROR(H10*FATOR_2022,"n.d.")</f>
        <v>1506.96824535031</v>
      </c>
      <c r="M10" s="33" t="n">
        <f aca="false">IFERROR(K10/J10-1,"n.d.")</f>
        <v>0.0134544361544215</v>
      </c>
      <c r="N10" s="33" t="n">
        <f aca="false">IFERROR(L10/K10-1,"n.d.")</f>
        <v>0.418445249355564</v>
      </c>
      <c r="O10" s="33" t="n">
        <f aca="false">IFERROR(I10/L10-1,"n.d.")</f>
        <v>-0.00487750513190366</v>
      </c>
      <c r="P10" s="33" t="n">
        <f aca="false">IFERROR(I10/J10-1,"n.d.")</f>
        <v>0.430518072252014</v>
      </c>
      <c r="Q10" s="32" t="n">
        <f aca="false">IFERROR(I10-F10,"n.d.")</f>
        <v>823.38</v>
      </c>
      <c r="R10" s="32" t="n">
        <f aca="false">IFERROR(I10-G10,"n.d.")</f>
        <v>736.136</v>
      </c>
      <c r="S10" s="33" t="n">
        <f aca="false">IFERROR(F10/PIB_2016,"n.d.")</f>
        <v>0.107864528361657</v>
      </c>
      <c r="T10" s="33" t="n">
        <f aca="false">IFERROR(G10/PIB_2019,"n.d.")</f>
        <v>0.103325005335539</v>
      </c>
      <c r="U10" s="33" t="n">
        <f aca="false">IFERROR(H10/PIB_2022,"n.d.")</f>
        <v>0.130740908735559</v>
      </c>
      <c r="V10" s="33" t="n">
        <f aca="false">IFERROR(I10/PIB_2025,"n.d.")</f>
        <v>0.117722669882937</v>
      </c>
      <c r="W10" s="30" t="s">
        <v>107</v>
      </c>
      <c r="X10" s="30" t="s">
        <v>107</v>
      </c>
      <c r="Y10" s="30" t="s">
        <v>107</v>
      </c>
      <c r="Z10" s="30" t="s">
        <v>107</v>
      </c>
      <c r="AA10" s="30" t="s">
        <v>50</v>
      </c>
      <c r="AB10" s="30" t="s">
        <v>436</v>
      </c>
    </row>
    <row r="11" customFormat="false" ht="15" hidden="false" customHeight="false" outlineLevel="0" collapsed="false">
      <c r="A11" s="30" t="s">
        <v>500</v>
      </c>
      <c r="B11" s="30" t="s">
        <v>501</v>
      </c>
      <c r="C11" s="30" t="s">
        <v>123</v>
      </c>
      <c r="D11" s="30" t="s">
        <v>105</v>
      </c>
      <c r="E11" s="30" t="s">
        <v>106</v>
      </c>
      <c r="F11" s="55" t="n">
        <v>143.72</v>
      </c>
      <c r="G11" s="55" t="n">
        <v>190.862</v>
      </c>
      <c r="H11" s="55" t="n">
        <v>211.586</v>
      </c>
      <c r="I11" s="55" t="n">
        <v>260.23</v>
      </c>
      <c r="J11" s="32" t="n">
        <f aca="false">IFERROR(F11*FATOR_2016,"n.d.")</f>
        <v>222.794739786838</v>
      </c>
      <c r="K11" s="32" t="n">
        <f aca="false">IFERROR(G11*FATOR_2019,"n.d.")</f>
        <v>265.590289174381</v>
      </c>
      <c r="L11" s="32" t="n">
        <f aca="false">IFERROR(H11*FATOR_2022,"n.d.")</f>
        <v>241.954084348534</v>
      </c>
      <c r="M11" s="33" t="n">
        <f aca="false">IFERROR(K11/J11-1,"n.d.")</f>
        <v>0.192085097828111</v>
      </c>
      <c r="N11" s="33" t="n">
        <f aca="false">IFERROR(L11/K11-1,"n.d.")</f>
        <v>-0.0889949888579243</v>
      </c>
      <c r="O11" s="33" t="n">
        <f aca="false">IFERROR(I11/L11-1,"n.d.")</f>
        <v>0.0755346441068534</v>
      </c>
      <c r="P11" s="33" t="n">
        <f aca="false">IFERROR(I11/J11-1,"n.d.")</f>
        <v>0.168025781259375</v>
      </c>
      <c r="Q11" s="32" t="n">
        <f aca="false">IFERROR(I11-F11,"n.d.")</f>
        <v>116.51</v>
      </c>
      <c r="R11" s="32" t="n">
        <f aca="false">IFERROR(I11-G11,"n.d.")</f>
        <v>69.368</v>
      </c>
      <c r="S11" s="33" t="n">
        <f aca="false">IFERROR(F11/PIB_2016,"n.d.")</f>
        <v>0.0229243106955499</v>
      </c>
      <c r="T11" s="33" t="n">
        <f aca="false">IFERROR(G11/PIB_2019,"n.d.")</f>
        <v>0.0258301009956381</v>
      </c>
      <c r="U11" s="33" t="n">
        <f aca="false">IFERROR(H11/PIB_2022,"n.d.")</f>
        <v>0.0209913493251172</v>
      </c>
      <c r="V11" s="33" t="n">
        <f aca="false">IFERROR(I11/PIB_2025,"n.d.")</f>
        <v>0.0204285160511788</v>
      </c>
      <c r="W11" s="30" t="s">
        <v>107</v>
      </c>
      <c r="X11" s="30" t="s">
        <v>107</v>
      </c>
      <c r="Y11" s="30" t="s">
        <v>107</v>
      </c>
      <c r="Z11" s="30" t="s">
        <v>107</v>
      </c>
      <c r="AA11" s="30" t="s">
        <v>50</v>
      </c>
      <c r="AB11" s="30" t="s">
        <v>436</v>
      </c>
    </row>
    <row r="12" customFormat="false" ht="15" hidden="false" customHeight="false" outlineLevel="0" collapsed="false">
      <c r="A12" s="30" t="s">
        <v>502</v>
      </c>
      <c r="B12" s="30" t="s">
        <v>503</v>
      </c>
      <c r="C12" s="30" t="s">
        <v>123</v>
      </c>
      <c r="D12" s="30" t="s">
        <v>105</v>
      </c>
      <c r="E12" s="30" t="s">
        <v>106</v>
      </c>
      <c r="F12" s="55" t="n">
        <v>275.187</v>
      </c>
      <c r="G12" s="55" t="n">
        <v>248.642</v>
      </c>
      <c r="H12" s="55" t="n">
        <v>294.04</v>
      </c>
      <c r="I12" s="55" t="n">
        <v>403.368</v>
      </c>
      <c r="J12" s="32" t="n">
        <f aca="false">IFERROR(F12*FATOR_2016,"n.d.")</f>
        <v>426.594879332873</v>
      </c>
      <c r="K12" s="32" t="n">
        <f aca="false">IFERROR(G12*FATOR_2019,"n.d.")</f>
        <v>345.992919915418</v>
      </c>
      <c r="L12" s="32" t="n">
        <f aca="false">IFERROR(H12*FATOR_2022,"n.d.")</f>
        <v>336.242374078828</v>
      </c>
      <c r="M12" s="33" t="n">
        <f aca="false">IFERROR(K12/J12-1,"n.d.")</f>
        <v>-0.188942632277968</v>
      </c>
      <c r="N12" s="33" t="n">
        <f aca="false">IFERROR(L12/K12-1,"n.d.")</f>
        <v>-0.0281813449794669</v>
      </c>
      <c r="O12" s="33" t="n">
        <f aca="false">IFERROR(I12/L12-1,"n.d.")</f>
        <v>0.199634641841528</v>
      </c>
      <c r="P12" s="33" t="n">
        <f aca="false">IFERROR(I12/J12-1,"n.d.")</f>
        <v>-0.0544471592560978</v>
      </c>
      <c r="Q12" s="32" t="n">
        <f aca="false">IFERROR(I12-F12,"n.d.")</f>
        <v>128.181</v>
      </c>
      <c r="R12" s="32" t="n">
        <f aca="false">IFERROR(I12-G12,"n.d.")</f>
        <v>154.726</v>
      </c>
      <c r="S12" s="33" t="n">
        <f aca="false">IFERROR(F12/PIB_2016,"n.d.")</f>
        <v>0.0438941851334282</v>
      </c>
      <c r="T12" s="33" t="n">
        <f aca="false">IFERROR(G12/PIB_2019,"n.d.")</f>
        <v>0.033649694395728</v>
      </c>
      <c r="U12" s="33" t="n">
        <f aca="false">IFERROR(H12/PIB_2022,"n.d.")</f>
        <v>0.0291715725783249</v>
      </c>
      <c r="V12" s="33" t="n">
        <f aca="false">IFERROR(I12/PIB_2025,"n.d.")</f>
        <v>0.0316651026497017</v>
      </c>
      <c r="W12" s="30" t="s">
        <v>107</v>
      </c>
      <c r="X12" s="30" t="s">
        <v>107</v>
      </c>
      <c r="Y12" s="30" t="s">
        <v>107</v>
      </c>
      <c r="Z12" s="30" t="s">
        <v>107</v>
      </c>
      <c r="AA12" s="30" t="s">
        <v>50</v>
      </c>
      <c r="AB12" s="30" t="s">
        <v>436</v>
      </c>
    </row>
    <row r="13" customFormat="false" ht="15" hidden="false" customHeight="false" outlineLevel="0" collapsed="false">
      <c r="A13" s="30" t="s">
        <v>118</v>
      </c>
      <c r="B13" s="30" t="s">
        <v>504</v>
      </c>
      <c r="C13" s="30" t="s">
        <v>120</v>
      </c>
      <c r="D13" s="30" t="s">
        <v>105</v>
      </c>
      <c r="E13" s="30" t="s">
        <v>106</v>
      </c>
      <c r="F13" s="55" t="n">
        <v>3962.446</v>
      </c>
      <c r="G13" s="55" t="n">
        <v>4660.166</v>
      </c>
      <c r="H13" s="55" t="n">
        <v>5855.005</v>
      </c>
      <c r="I13" s="55" t="n">
        <v>7609.87</v>
      </c>
      <c r="J13" s="32" t="n">
        <f aca="false">IFERROR(F13*FATOR_2016,"n.d.")</f>
        <v>6142.5836730406</v>
      </c>
      <c r="K13" s="32" t="n">
        <f aca="false">IFERROR(G13*FATOR_2019,"n.d.")</f>
        <v>6484.7629991335</v>
      </c>
      <c r="L13" s="32" t="n">
        <f aca="false">IFERROR(H13*FATOR_2022,"n.d.")</f>
        <v>6695.35022936814</v>
      </c>
      <c r="M13" s="33" t="n">
        <f aca="false">IFERROR(K13/J13-1,"n.d.")</f>
        <v>0.055706091167256</v>
      </c>
      <c r="N13" s="33" t="n">
        <f aca="false">IFERROR(L13/K13-1,"n.d.")</f>
        <v>0.0324741598517606</v>
      </c>
      <c r="O13" s="33" t="n">
        <f aca="false">IFERROR(I13/L13-1,"n.d.")</f>
        <v>0.136590281210452</v>
      </c>
      <c r="P13" s="33" t="n">
        <f aca="false">IFERROR(I13/J13-1,"n.d.")</f>
        <v>0.238871199003641</v>
      </c>
      <c r="Q13" s="32" t="n">
        <f aca="false">IFERROR(I13-F13,"n.d.")</f>
        <v>3647.424</v>
      </c>
      <c r="R13" s="32" t="n">
        <f aca="false">IFERROR(I13-G13,"n.d.")</f>
        <v>2949.704</v>
      </c>
      <c r="S13" s="33" t="n">
        <f aca="false">IFERROR(F13/PIB_2016,"n.d.")</f>
        <v>0.632036899654461</v>
      </c>
      <c r="T13" s="33" t="n">
        <f aca="false">IFERROR(G13/PIB_2019,"n.d.")</f>
        <v>0.630678492504734</v>
      </c>
      <c r="U13" s="33" t="n">
        <f aca="false">IFERROR(H13/PIB_2022,"n.d.")</f>
        <v>0.580872341531613</v>
      </c>
      <c r="V13" s="33" t="n">
        <f aca="false">IFERROR(I13/PIB_2025,"n.d.")</f>
        <v>0.597388277456034</v>
      </c>
      <c r="W13" s="30" t="s">
        <v>107</v>
      </c>
      <c r="X13" s="30" t="s">
        <v>107</v>
      </c>
      <c r="Y13" s="30" t="s">
        <v>107</v>
      </c>
      <c r="Z13" s="30" t="s">
        <v>107</v>
      </c>
      <c r="AA13" s="30" t="s">
        <v>50</v>
      </c>
      <c r="AB13" s="30" t="s">
        <v>436</v>
      </c>
    </row>
    <row r="14" customFormat="false" ht="15" hidden="false" customHeight="false" outlineLevel="0" collapsed="false">
      <c r="A14" s="30" t="s">
        <v>505</v>
      </c>
      <c r="B14" s="30" t="s">
        <v>506</v>
      </c>
      <c r="C14" s="30" t="s">
        <v>123</v>
      </c>
      <c r="D14" s="30" t="s">
        <v>105</v>
      </c>
      <c r="E14" s="30" t="s">
        <v>106</v>
      </c>
      <c r="F14" s="55" t="n">
        <v>699.768</v>
      </c>
      <c r="G14" s="55" t="n">
        <v>822.59</v>
      </c>
      <c r="H14" s="55" t="n">
        <v>1117.748</v>
      </c>
      <c r="I14" s="55" t="n">
        <v>1271.51</v>
      </c>
      <c r="J14" s="32" t="n">
        <f aca="false">IFERROR(F14*FATOR_2016,"n.d.")</f>
        <v>1084.78033308625</v>
      </c>
      <c r="K14" s="32" t="n">
        <f aca="false">IFERROR(G14*FATOR_2019,"n.d.")</f>
        <v>1144.65905194305</v>
      </c>
      <c r="L14" s="32" t="n">
        <f aca="false">IFERROR(H14*FATOR_2022,"n.d.")</f>
        <v>1278.17385778078</v>
      </c>
      <c r="M14" s="33" t="n">
        <f aca="false">IFERROR(K14/J14-1,"n.d.")</f>
        <v>0.0551989347801327</v>
      </c>
      <c r="N14" s="33" t="n">
        <f aca="false">IFERROR(L14/K14-1,"n.d.")</f>
        <v>0.116641549823152</v>
      </c>
      <c r="O14" s="33" t="n">
        <f aca="false">IFERROR(I14/L14-1,"n.d.")</f>
        <v>-0.00521357696389979</v>
      </c>
      <c r="P14" s="33" t="n">
        <f aca="false">IFERROR(I14/J14-1,"n.d.")</f>
        <v>0.17213592578923</v>
      </c>
      <c r="Q14" s="32" t="n">
        <f aca="false">IFERROR(I14-F14,"n.d.")</f>
        <v>571.742</v>
      </c>
      <c r="R14" s="32" t="n">
        <f aca="false">IFERROR(I14-G14,"n.d.")</f>
        <v>448.92</v>
      </c>
      <c r="S14" s="33" t="n">
        <f aca="false">IFERROR(F14/PIB_2016,"n.d.")</f>
        <v>0.111617722285024</v>
      </c>
      <c r="T14" s="33" t="n">
        <f aca="false">IFERROR(G14/PIB_2019,"n.d.")</f>
        <v>0.111324322169955</v>
      </c>
      <c r="U14" s="33" t="n">
        <f aca="false">IFERROR(H14/PIB_2022,"n.d.")</f>
        <v>0.110891262774716</v>
      </c>
      <c r="V14" s="33" t="n">
        <f aca="false">IFERROR(I14/PIB_2025,"n.d.")</f>
        <v>0.0998157877425136</v>
      </c>
      <c r="W14" s="30" t="s">
        <v>107</v>
      </c>
      <c r="X14" s="30" t="s">
        <v>107</v>
      </c>
      <c r="Y14" s="30" t="s">
        <v>107</v>
      </c>
      <c r="Z14" s="30" t="s">
        <v>107</v>
      </c>
      <c r="AA14" s="30" t="s">
        <v>50</v>
      </c>
      <c r="AB14" s="30" t="s">
        <v>436</v>
      </c>
    </row>
    <row r="15" customFormat="false" ht="15" hidden="false" customHeight="false" outlineLevel="0" collapsed="false">
      <c r="A15" s="30" t="s">
        <v>507</v>
      </c>
      <c r="B15" s="30" t="s">
        <v>508</v>
      </c>
      <c r="C15" s="30" t="s">
        <v>123</v>
      </c>
      <c r="D15" s="30" t="s">
        <v>105</v>
      </c>
      <c r="E15" s="30" t="s">
        <v>106</v>
      </c>
      <c r="F15" s="55" t="n">
        <v>235.979</v>
      </c>
      <c r="G15" s="55" t="n">
        <v>284.471</v>
      </c>
      <c r="H15" s="55" t="n">
        <v>279.382</v>
      </c>
      <c r="I15" s="55" t="n">
        <v>395.671</v>
      </c>
      <c r="J15" s="32" t="n">
        <f aca="false">IFERROR(F15*FATOR_2016,"n.d.")</f>
        <v>365.814638882258</v>
      </c>
      <c r="K15" s="32" t="n">
        <f aca="false">IFERROR(G15*FATOR_2019,"n.d.")</f>
        <v>395.850065239415</v>
      </c>
      <c r="L15" s="32" t="n">
        <f aca="false">IFERROR(H15*FATOR_2022,"n.d.")</f>
        <v>319.480570517246</v>
      </c>
      <c r="M15" s="33" t="n">
        <f aca="false">IFERROR(K15/J15-1,"n.d.")</f>
        <v>0.0821055889095368</v>
      </c>
      <c r="N15" s="33" t="n">
        <f aca="false">IFERROR(L15/K15-1,"n.d.")</f>
        <v>-0.192925305382935</v>
      </c>
      <c r="O15" s="33" t="n">
        <f aca="false">IFERROR(I15/L15-1,"n.d.")</f>
        <v>0.238482200527561</v>
      </c>
      <c r="P15" s="33" t="n">
        <f aca="false">IFERROR(I15/J15-1,"n.d.")</f>
        <v>0.0816160917151036</v>
      </c>
      <c r="Q15" s="32" t="n">
        <f aca="false">IFERROR(I15-F15,"n.d.")</f>
        <v>159.692</v>
      </c>
      <c r="R15" s="32" t="n">
        <f aca="false">IFERROR(I15-G15,"n.d.")</f>
        <v>111.2</v>
      </c>
      <c r="S15" s="33" t="n">
        <f aca="false">IFERROR(F15/PIB_2016,"n.d.")</f>
        <v>0.0376402443196854</v>
      </c>
      <c r="T15" s="33" t="n">
        <f aca="false">IFERROR(G15/PIB_2019,"n.d.")</f>
        <v>0.0384985731069053</v>
      </c>
      <c r="U15" s="33" t="n">
        <f aca="false">IFERROR(H15/PIB_2022,"n.d.")</f>
        <v>0.0277173591690844</v>
      </c>
      <c r="V15" s="33" t="n">
        <f aca="false">IFERROR(I15/PIB_2025,"n.d.")</f>
        <v>0.0310608745128769</v>
      </c>
      <c r="W15" s="30" t="s">
        <v>107</v>
      </c>
      <c r="X15" s="30" t="s">
        <v>107</v>
      </c>
      <c r="Y15" s="30" t="s">
        <v>107</v>
      </c>
      <c r="Z15" s="30" t="s">
        <v>107</v>
      </c>
      <c r="AA15" s="30" t="s">
        <v>50</v>
      </c>
      <c r="AB15" s="30" t="s">
        <v>436</v>
      </c>
    </row>
    <row r="16" customFormat="false" ht="15" hidden="false" customHeight="false" outlineLevel="0" collapsed="false">
      <c r="A16" s="30" t="s">
        <v>509</v>
      </c>
      <c r="B16" s="30" t="s">
        <v>510</v>
      </c>
      <c r="C16" s="30" t="s">
        <v>123</v>
      </c>
      <c r="D16" s="30" t="s">
        <v>105</v>
      </c>
      <c r="E16" s="30" t="s">
        <v>106</v>
      </c>
      <c r="F16" s="55" t="n">
        <v>179.031</v>
      </c>
      <c r="G16" s="55" t="n">
        <v>218.876</v>
      </c>
      <c r="H16" s="55" t="n">
        <v>291.184</v>
      </c>
      <c r="I16" s="55" t="n">
        <v>389.291</v>
      </c>
      <c r="J16" s="32" t="n">
        <f aca="false">IFERROR(F16*FATOR_2016,"n.d.")</f>
        <v>277.533850951693</v>
      </c>
      <c r="K16" s="32" t="n">
        <f aca="false">IFERROR(G16*FATOR_2019,"n.d.")</f>
        <v>304.572623850383</v>
      </c>
      <c r="L16" s="32" t="n">
        <f aca="false">IFERROR(H16*FATOR_2022,"n.d.")</f>
        <v>332.976463929294</v>
      </c>
      <c r="M16" s="33" t="n">
        <f aca="false">IFERROR(K16/J16-1,"n.d.")</f>
        <v>0.0974251350095536</v>
      </c>
      <c r="N16" s="33" t="n">
        <f aca="false">IFERROR(L16/K16-1,"n.d.")</f>
        <v>0.0932580207630991</v>
      </c>
      <c r="O16" s="33" t="n">
        <f aca="false">IFERROR(I16/L16-1,"n.d.")</f>
        <v>0.169124674477487</v>
      </c>
      <c r="P16" s="33" t="n">
        <f aca="false">IFERROR(I16/J16-1,"n.d.")</f>
        <v>0.402679344033457</v>
      </c>
      <c r="Q16" s="32" t="n">
        <f aca="false">IFERROR(I16-F16,"n.d.")</f>
        <v>210.26</v>
      </c>
      <c r="R16" s="32" t="n">
        <f aca="false">IFERROR(I16-G16,"n.d.")</f>
        <v>170.415</v>
      </c>
      <c r="S16" s="33" t="n">
        <f aca="false">IFERROR(F16/PIB_2016,"n.d.")</f>
        <v>0.0285566536886655</v>
      </c>
      <c r="T16" s="33" t="n">
        <f aca="false">IFERROR(G16/PIB_2019,"n.d.")</f>
        <v>0.0296213451893058</v>
      </c>
      <c r="U16" s="33" t="n">
        <f aca="false">IFERROR(H16/PIB_2022,"n.d.")</f>
        <v>0.028888230137556</v>
      </c>
      <c r="V16" s="33" t="n">
        <f aca="false">IFERROR(I16/PIB_2025,"n.d.")</f>
        <v>0.0305600332093895</v>
      </c>
      <c r="W16" s="30" t="s">
        <v>107</v>
      </c>
      <c r="X16" s="30" t="s">
        <v>107</v>
      </c>
      <c r="Y16" s="30" t="s">
        <v>107</v>
      </c>
      <c r="Z16" s="30" t="s">
        <v>107</v>
      </c>
      <c r="AA16" s="30" t="s">
        <v>50</v>
      </c>
      <c r="AB16" s="30" t="s">
        <v>436</v>
      </c>
    </row>
    <row r="17" customFormat="false" ht="22.35" hidden="false" customHeight="false" outlineLevel="0" collapsed="false">
      <c r="A17" s="30" t="s">
        <v>121</v>
      </c>
      <c r="B17" s="30" t="s">
        <v>511</v>
      </c>
      <c r="C17" s="30" t="s">
        <v>123</v>
      </c>
      <c r="D17" s="30" t="s">
        <v>105</v>
      </c>
      <c r="E17" s="30" t="s">
        <v>106</v>
      </c>
      <c r="F17" s="55" t="n">
        <v>425.533</v>
      </c>
      <c r="G17" s="55" t="n">
        <v>460.292</v>
      </c>
      <c r="H17" s="55" t="n">
        <v>609.376</v>
      </c>
      <c r="I17" s="55" t="n">
        <v>930.269</v>
      </c>
      <c r="J17" s="32" t="n">
        <f aca="false">IFERROR(F17*FATOR_2016,"n.d.")</f>
        <v>659.661244125469</v>
      </c>
      <c r="K17" s="32" t="n">
        <f aca="false">IFERROR(G17*FATOR_2019,"n.d.")</f>
        <v>640.510344566515</v>
      </c>
      <c r="L17" s="32" t="n">
        <f aca="false">IFERROR(H17*FATOR_2022,"n.d.")</f>
        <v>696.837277059788</v>
      </c>
      <c r="M17" s="33" t="n">
        <f aca="false">IFERROR(K17/J17-1,"n.d.")</f>
        <v>-0.0290314153355222</v>
      </c>
      <c r="N17" s="33" t="n">
        <f aca="false">IFERROR(L17/K17-1,"n.d.")</f>
        <v>0.0879407069239355</v>
      </c>
      <c r="O17" s="33" t="n">
        <f aca="false">IFERROR(I17/L17-1,"n.d.")</f>
        <v>0.334987421920289</v>
      </c>
      <c r="P17" s="33" t="n">
        <f aca="false">IFERROR(I17/J17-1,"n.d.")</f>
        <v>0.410222304681979</v>
      </c>
      <c r="Q17" s="32" t="n">
        <f aca="false">IFERROR(I17-F17,"n.d.")</f>
        <v>504.736</v>
      </c>
      <c r="R17" s="32" t="n">
        <f aca="false">IFERROR(I17-G17,"n.d.")</f>
        <v>469.977</v>
      </c>
      <c r="S17" s="33" t="n">
        <f aca="false">IFERROR(F17/PIB_2016,"n.d.")</f>
        <v>0.0678753875814741</v>
      </c>
      <c r="T17" s="33" t="n">
        <f aca="false">IFERROR(G17/PIB_2019,"n.d.")</f>
        <v>0.0622931167413326</v>
      </c>
      <c r="U17" s="33" t="n">
        <f aca="false">IFERROR(H17/PIB_2022,"n.d.")</f>
        <v>0.0604559114796944</v>
      </c>
      <c r="V17" s="33" t="n">
        <f aca="false">IFERROR(I17/PIB_2025,"n.d.")</f>
        <v>0.0730277646636207</v>
      </c>
      <c r="W17" s="30" t="s">
        <v>107</v>
      </c>
      <c r="X17" s="30" t="s">
        <v>107</v>
      </c>
      <c r="Y17" s="30" t="s">
        <v>107</v>
      </c>
      <c r="Z17" s="30" t="s">
        <v>107</v>
      </c>
      <c r="AA17" s="30" t="s">
        <v>50</v>
      </c>
      <c r="AB17" s="30" t="s">
        <v>512</v>
      </c>
    </row>
    <row r="18" customFormat="false" ht="15" hidden="false" customHeight="false" outlineLevel="0" collapsed="false">
      <c r="A18" s="30" t="s">
        <v>513</v>
      </c>
      <c r="B18" s="30" t="s">
        <v>514</v>
      </c>
      <c r="C18" s="30" t="s">
        <v>123</v>
      </c>
      <c r="D18" s="30" t="s">
        <v>105</v>
      </c>
      <c r="E18" s="30" t="s">
        <v>106</v>
      </c>
      <c r="F18" s="55" t="n">
        <v>527.006</v>
      </c>
      <c r="G18" s="55" t="n">
        <v>619.584</v>
      </c>
      <c r="H18" s="55" t="n">
        <v>770.175</v>
      </c>
      <c r="I18" s="55" t="n">
        <v>954.115</v>
      </c>
      <c r="J18" s="32" t="n">
        <f aca="false">IFERROR(F18*FATOR_2016,"n.d.")</f>
        <v>816.96468575078</v>
      </c>
      <c r="K18" s="32" t="n">
        <f aca="false">IFERROR(G18*FATOR_2019,"n.d.")</f>
        <v>862.170016702223</v>
      </c>
      <c r="L18" s="32" t="n">
        <f aca="false">IFERROR(H18*FATOR_2022,"n.d.")</f>
        <v>880.71510833955</v>
      </c>
      <c r="M18" s="33" t="n">
        <f aca="false">IFERROR(K18/J18-1,"n.d.")</f>
        <v>0.0553332741792867</v>
      </c>
      <c r="N18" s="33" t="n">
        <f aca="false">IFERROR(L18/K18-1,"n.d.")</f>
        <v>0.0215097849357628</v>
      </c>
      <c r="O18" s="33" t="n">
        <f aca="false">IFERROR(I18/L18-1,"n.d.")</f>
        <v>0.0833412427758093</v>
      </c>
      <c r="P18" s="33" t="n">
        <f aca="false">IFERROR(I18/J18-1,"n.d.")</f>
        <v>0.167877898079745</v>
      </c>
      <c r="Q18" s="32" t="n">
        <f aca="false">IFERROR(I18-F18,"n.d.")</f>
        <v>427.109</v>
      </c>
      <c r="R18" s="32" t="n">
        <f aca="false">IFERROR(I18-G18,"n.d.")</f>
        <v>334.531</v>
      </c>
      <c r="S18" s="33" t="n">
        <f aca="false">IFERROR(F18/PIB_2016,"n.d.")</f>
        <v>0.0840610164376495</v>
      </c>
      <c r="T18" s="33" t="n">
        <f aca="false">IFERROR(G18/PIB_2019,"n.d.")</f>
        <v>0.0838507261544016</v>
      </c>
      <c r="U18" s="33" t="n">
        <f aca="false">IFERROR(H18/PIB_2022,"n.d.")</f>
        <v>0.0764087059941212</v>
      </c>
      <c r="V18" s="33" t="n">
        <f aca="false">IFERROR(I18/PIB_2025,"n.d.")</f>
        <v>0.0748997179117335</v>
      </c>
      <c r="W18" s="30" t="s">
        <v>107</v>
      </c>
      <c r="X18" s="30" t="s">
        <v>107</v>
      </c>
      <c r="Y18" s="30" t="s">
        <v>107</v>
      </c>
      <c r="Z18" s="30" t="s">
        <v>107</v>
      </c>
      <c r="AA18" s="30" t="s">
        <v>50</v>
      </c>
      <c r="AB18" s="30" t="s">
        <v>515</v>
      </c>
    </row>
    <row r="19" customFormat="false" ht="15" hidden="false" customHeight="false" outlineLevel="0" collapsed="false">
      <c r="A19" s="30" t="s">
        <v>516</v>
      </c>
      <c r="B19" s="30" t="s">
        <v>517</v>
      </c>
      <c r="C19" s="30" t="s">
        <v>123</v>
      </c>
      <c r="D19" s="30" t="s">
        <v>105</v>
      </c>
      <c r="E19" s="30" t="s">
        <v>106</v>
      </c>
      <c r="F19" s="55" t="n">
        <v>950.012</v>
      </c>
      <c r="G19" s="55" t="n">
        <v>1148.263</v>
      </c>
      <c r="H19" s="55" t="n">
        <v>1421.303</v>
      </c>
      <c r="I19" s="55" t="n">
        <v>1921.915</v>
      </c>
      <c r="J19" s="32" t="n">
        <f aca="false">IFERROR(F19*FATOR_2016,"n.d.")</f>
        <v>1472.70857455033</v>
      </c>
      <c r="K19" s="32" t="n">
        <f aca="false">IFERROR(G19*FATOR_2019,"n.d.")</f>
        <v>1597.84295573892</v>
      </c>
      <c r="L19" s="32" t="n">
        <f aca="false">IFERROR(H19*FATOR_2022,"n.d.")</f>
        <v>1625.29688139491</v>
      </c>
      <c r="M19" s="33" t="n">
        <f aca="false">IFERROR(K19/J19-1,"n.d.")</f>
        <v>0.0849688684856083</v>
      </c>
      <c r="N19" s="33" t="n">
        <f aca="false">IFERROR(L19/K19-1,"n.d.")</f>
        <v>0.0171818673151745</v>
      </c>
      <c r="O19" s="33" t="n">
        <f aca="false">IFERROR(I19/L19-1,"n.d.")</f>
        <v>0.182500884607932</v>
      </c>
      <c r="P19" s="33" t="n">
        <f aca="false">IFERROR(I19/J19-1,"n.d.")</f>
        <v>0.305020581269333</v>
      </c>
      <c r="Q19" s="32" t="n">
        <f aca="false">IFERROR(I19-F19,"n.d.")</f>
        <v>971.903</v>
      </c>
      <c r="R19" s="32" t="n">
        <f aca="false">IFERROR(I19-G19,"n.d.")</f>
        <v>773.652</v>
      </c>
      <c r="S19" s="33" t="n">
        <f aca="false">IFERROR(F19/PIB_2016,"n.d.")</f>
        <v>0.151533330451578</v>
      </c>
      <c r="T19" s="33" t="n">
        <f aca="false">IFERROR(G19/PIB_2019,"n.d.")</f>
        <v>0.155398923093934</v>
      </c>
      <c r="U19" s="33" t="n">
        <f aca="false">IFERROR(H19/PIB_2022,"n.d.")</f>
        <v>0.141006814107914</v>
      </c>
      <c r="V19" s="33" t="n">
        <f aca="false">IFERROR(I19/PIB_2025,"n.d.")</f>
        <v>0.15087373256927</v>
      </c>
      <c r="W19" s="30" t="s">
        <v>107</v>
      </c>
      <c r="X19" s="30" t="s">
        <v>107</v>
      </c>
      <c r="Y19" s="30" t="s">
        <v>107</v>
      </c>
      <c r="Z19" s="30" t="s">
        <v>107</v>
      </c>
      <c r="AA19" s="30" t="s">
        <v>50</v>
      </c>
      <c r="AB19" s="30" t="s">
        <v>436</v>
      </c>
    </row>
    <row r="20" customFormat="false" ht="22.35" hidden="false" customHeight="false" outlineLevel="0" collapsed="false">
      <c r="A20" s="30" t="s">
        <v>518</v>
      </c>
      <c r="B20" s="30" t="s">
        <v>519</v>
      </c>
      <c r="C20" s="30" t="s">
        <v>123</v>
      </c>
      <c r="D20" s="30" t="s">
        <v>105</v>
      </c>
      <c r="E20" s="30" t="s">
        <v>106</v>
      </c>
      <c r="F20" s="56" t="n">
        <v>14700000</v>
      </c>
      <c r="G20" s="55" t="n">
        <v>1106.091</v>
      </c>
      <c r="H20" s="55" t="n">
        <v>22648395</v>
      </c>
      <c r="I20" s="55" t="n">
        <v>1747.099</v>
      </c>
      <c r="J20" s="32" t="n">
        <f aca="false">IFERROR(F20*FATOR_2016,"n.d.")</f>
        <v>22787939.5690684</v>
      </c>
      <c r="K20" s="32" t="n">
        <f aca="false">IFERROR(G20*FATOR_2019,"n.d.")</f>
        <v>1539.15933262347</v>
      </c>
      <c r="L20" s="32" t="n">
        <f aca="false">IFERROR(H20*FATOR_2022,"n.d.")</f>
        <v>25899027.6964871</v>
      </c>
      <c r="M20" s="33" t="n">
        <f aca="false">IFERROR(K20/J20-1,"n.d.")</f>
        <v>-0.999932457283909</v>
      </c>
      <c r="N20" s="33" t="n">
        <f aca="false">IFERROR(L20/K20-1,"n.d.")</f>
        <v>16825.7359639386</v>
      </c>
      <c r="O20" s="33" t="n">
        <f aca="false">IFERROR(I20/L20-1,"n.d.")</f>
        <v>-0.999932541907732</v>
      </c>
      <c r="P20" s="33" t="n">
        <f aca="false">IFERROR(I20/J20-1,"n.d.")</f>
        <v>-0.999923332296248</v>
      </c>
      <c r="Q20" s="32" t="n">
        <f aca="false">IFERROR(I20-F20,"n.d.")</f>
        <v>-14698252.901</v>
      </c>
      <c r="R20" s="32" t="n">
        <f aca="false">IFERROR(I20-G20,"n.d.")</f>
        <v>641.008</v>
      </c>
      <c r="S20" s="33" t="n">
        <f aca="false">IFERROR(F20/PIB_2016,"n.d.")</f>
        <v>2344.74928489135</v>
      </c>
      <c r="T20" s="33" t="n">
        <f aca="false">IFERROR(G20/PIB_2019,"n.d.")</f>
        <v>0.149691621382812</v>
      </c>
      <c r="U20" s="33" t="n">
        <f aca="false">IFERROR(H20/PIB_2022,"n.d.")</f>
        <v>2246.93680630211</v>
      </c>
      <c r="V20" s="33" t="n">
        <f aca="false">IFERROR(I20/PIB_2025,"n.d.")</f>
        <v>0.137150366846629</v>
      </c>
      <c r="W20" s="30" t="s">
        <v>372</v>
      </c>
      <c r="X20" s="30" t="s">
        <v>107</v>
      </c>
      <c r="Y20" s="30" t="s">
        <v>366</v>
      </c>
      <c r="Z20" s="30" t="s">
        <v>107</v>
      </c>
      <c r="AA20" s="30" t="s">
        <v>50</v>
      </c>
      <c r="AB20" s="30" t="s">
        <v>520</v>
      </c>
    </row>
    <row r="21" customFormat="false" ht="22.35" hidden="false" customHeight="false" outlineLevel="0" collapsed="false">
      <c r="A21" s="35" t="s">
        <v>125</v>
      </c>
      <c r="B21" s="35" t="s">
        <v>126</v>
      </c>
      <c r="C21" s="35" t="s">
        <v>127</v>
      </c>
      <c r="D21" s="35" t="s">
        <v>105</v>
      </c>
      <c r="E21" s="35" t="s">
        <v>106</v>
      </c>
      <c r="F21" s="37" t="n">
        <f aca="false">F13-F17</f>
        <v>3536.913</v>
      </c>
      <c r="G21" s="37" t="n">
        <f aca="false">G13-G17</f>
        <v>4199.874</v>
      </c>
      <c r="H21" s="37" t="n">
        <f aca="false">H13-H17</f>
        <v>5245.629</v>
      </c>
      <c r="I21" s="37" t="n">
        <f aca="false">I13-I17</f>
        <v>6679.601</v>
      </c>
      <c r="J21" s="37" t="n">
        <f aca="false">IFERROR(F21*FATOR_2016,"n.d.")</f>
        <v>5482.92242891513</v>
      </c>
      <c r="K21" s="37" t="n">
        <f aca="false">IFERROR(G21*FATOR_2019,"n.d.")</f>
        <v>5844.25265456698</v>
      </c>
      <c r="L21" s="37" t="n">
        <f aca="false">IFERROR(H21*FATOR_2022,"n.d.")</f>
        <v>5998.51295230836</v>
      </c>
      <c r="M21" s="38" t="n">
        <f aca="false">IFERROR(K21/J21-1,"n.d.")</f>
        <v>0.0659010282082988</v>
      </c>
      <c r="N21" s="38" t="n">
        <f aca="false">IFERROR(L21/K21-1,"n.d.")</f>
        <v>0.0263952137012462</v>
      </c>
      <c r="O21" s="38" t="n">
        <f aca="false">IFERROR(I21/L21-1,"n.d.")</f>
        <v>0.113542815212151</v>
      </c>
      <c r="P21" s="38" t="n">
        <f aca="false">IFERROR(I21/J21-1,"n.d.")</f>
        <v>0.218255608500674</v>
      </c>
      <c r="Q21" s="37" t="n">
        <f aca="false">IFERROR(I21-F21,"n.d.")</f>
        <v>3142.688</v>
      </c>
      <c r="R21" s="37" t="n">
        <f aca="false">IFERROR(I21-G21,"n.d.")</f>
        <v>2479.727</v>
      </c>
      <c r="S21" s="38" t="n">
        <f aca="false">IFERROR(F21/PIB_2016,"n.d.")</f>
        <v>0.564161512072987</v>
      </c>
      <c r="T21" s="38" t="n">
        <f aca="false">IFERROR(G21/PIB_2019,"n.d.")</f>
        <v>0.568385375763402</v>
      </c>
      <c r="U21" s="38" t="n">
        <f aca="false">IFERROR(H21/PIB_2022,"n.d.")</f>
        <v>0.520416430051918</v>
      </c>
      <c r="V21" s="38" t="n">
        <f aca="false">IFERROR(I21/PIB_2025,"n.d.")</f>
        <v>0.524360512792413</v>
      </c>
      <c r="W21" s="35" t="s">
        <v>128</v>
      </c>
      <c r="X21" s="35" t="s">
        <v>128</v>
      </c>
      <c r="Y21" s="35" t="s">
        <v>128</v>
      </c>
      <c r="Z21" s="35" t="s">
        <v>128</v>
      </c>
      <c r="AA21" s="35" t="s">
        <v>52</v>
      </c>
      <c r="AB21" s="35" t="s">
        <v>521</v>
      </c>
    </row>
    <row r="22" customFormat="false" ht="22.35" hidden="false" customHeight="false" outlineLevel="0" collapsed="false">
      <c r="A22" s="35" t="s">
        <v>130</v>
      </c>
      <c r="B22" s="35" t="s">
        <v>20</v>
      </c>
      <c r="C22" s="35" t="s">
        <v>522</v>
      </c>
      <c r="D22" s="35" t="s">
        <v>105</v>
      </c>
      <c r="E22" s="35" t="s">
        <v>132</v>
      </c>
      <c r="F22" s="38" t="n">
        <f aca="false">F7/F4</f>
        <v>0.0489133841638823</v>
      </c>
      <c r="G22" s="38" t="n">
        <f aca="false">G7/G4</f>
        <v>0.042050140943502</v>
      </c>
      <c r="H22" s="38" t="n">
        <f aca="false">H7/H4</f>
        <v>0.0576747704985756</v>
      </c>
      <c r="I22" s="38" t="n">
        <f aca="false">I7/I4</f>
        <v>0.0608621880987232</v>
      </c>
      <c r="J22" s="37" t="s">
        <v>133</v>
      </c>
      <c r="K22" s="37" t="s">
        <v>133</v>
      </c>
      <c r="L22" s="37" t="s">
        <v>133</v>
      </c>
      <c r="M22" s="40" t="n">
        <f aca="false">IFERROR((G22-F22)*100,"n.d.")</f>
        <v>-0.686324322038033</v>
      </c>
      <c r="N22" s="40" t="n">
        <f aca="false">IFERROR((H22-G22)*100,"n.d.")</f>
        <v>1.56246295550735</v>
      </c>
      <c r="O22" s="40" t="n">
        <f aca="false">IFERROR((I22-H22)*100,"n.d.")</f>
        <v>0.318741760014765</v>
      </c>
      <c r="P22" s="40" t="n">
        <f aca="false">IFERROR((I22-F22)*100,"n.d.")</f>
        <v>1.19488039348409</v>
      </c>
      <c r="Q22" s="40" t="n">
        <f aca="false">IFERROR((I22-F22)*100,"n.d.")</f>
        <v>1.19488039348409</v>
      </c>
      <c r="R22" s="40" t="n">
        <f aca="false">IFERROR((I22-G22)*100,"n.d.")</f>
        <v>1.88120471552212</v>
      </c>
      <c r="S22" s="38" t="s">
        <v>133</v>
      </c>
      <c r="T22" s="38" t="s">
        <v>133</v>
      </c>
      <c r="U22" s="38" t="s">
        <v>133</v>
      </c>
      <c r="V22" s="38" t="s">
        <v>133</v>
      </c>
      <c r="W22" s="35" t="s">
        <v>128</v>
      </c>
      <c r="X22" s="35" t="s">
        <v>128</v>
      </c>
      <c r="Y22" s="35" t="s">
        <v>128</v>
      </c>
      <c r="Z22" s="35" t="s">
        <v>128</v>
      </c>
      <c r="AA22" s="35" t="s">
        <v>52</v>
      </c>
      <c r="AB22" s="35" t="s">
        <v>523</v>
      </c>
    </row>
    <row r="23" customFormat="false" ht="22.35" hidden="false" customHeight="false" outlineLevel="0" collapsed="false">
      <c r="A23" s="35" t="s">
        <v>134</v>
      </c>
      <c r="B23" s="35" t="s">
        <v>22</v>
      </c>
      <c r="C23" s="35" t="s">
        <v>522</v>
      </c>
      <c r="D23" s="35" t="s">
        <v>105</v>
      </c>
      <c r="E23" s="35" t="s">
        <v>132</v>
      </c>
      <c r="F23" s="38" t="n">
        <f aca="false">F8/F4</f>
        <v>0.183547612048311</v>
      </c>
      <c r="G23" s="38" t="n">
        <f aca="false">G8/G4</f>
        <v>0.187546275739326</v>
      </c>
      <c r="H23" s="38" t="n">
        <f aca="false">H8/H4</f>
        <v>0.228194537205363</v>
      </c>
      <c r="I23" s="38" t="n">
        <f aca="false">I8/I4</f>
        <v>0.201499446641011</v>
      </c>
      <c r="J23" s="37" t="s">
        <v>133</v>
      </c>
      <c r="K23" s="37" t="s">
        <v>133</v>
      </c>
      <c r="L23" s="37" t="s">
        <v>133</v>
      </c>
      <c r="M23" s="40" t="n">
        <f aca="false">IFERROR((G23-F23)*100,"n.d.")</f>
        <v>0.399866369101501</v>
      </c>
      <c r="N23" s="40" t="n">
        <f aca="false">IFERROR((H23-G23)*100,"n.d.")</f>
        <v>4.06482614660368</v>
      </c>
      <c r="O23" s="40" t="n">
        <f aca="false">IFERROR((I23-H23)*100,"n.d.")</f>
        <v>-2.66950905643514</v>
      </c>
      <c r="P23" s="40" t="n">
        <f aca="false">IFERROR((I23-F23)*100,"n.d.")</f>
        <v>1.79518345927004</v>
      </c>
      <c r="Q23" s="40" t="n">
        <f aca="false">IFERROR((I23-F23)*100,"n.d.")</f>
        <v>1.79518345927004</v>
      </c>
      <c r="R23" s="40" t="n">
        <f aca="false">IFERROR((I23-G23)*100,"n.d.")</f>
        <v>1.39531709016854</v>
      </c>
      <c r="S23" s="38" t="s">
        <v>133</v>
      </c>
      <c r="T23" s="38" t="s">
        <v>133</v>
      </c>
      <c r="U23" s="38" t="s">
        <v>133</v>
      </c>
      <c r="V23" s="38" t="s">
        <v>133</v>
      </c>
      <c r="W23" s="35" t="s">
        <v>128</v>
      </c>
      <c r="X23" s="35" t="s">
        <v>128</v>
      </c>
      <c r="Y23" s="35" t="s">
        <v>128</v>
      </c>
      <c r="Z23" s="35" t="s">
        <v>128</v>
      </c>
      <c r="AA23" s="35" t="s">
        <v>52</v>
      </c>
      <c r="AB23" s="35" t="s">
        <v>524</v>
      </c>
    </row>
    <row r="24" customFormat="false" ht="22.35" hidden="false" customHeight="false" outlineLevel="0" collapsed="false">
      <c r="A24" s="35" t="s">
        <v>525</v>
      </c>
      <c r="B24" s="35" t="s">
        <v>526</v>
      </c>
      <c r="C24" s="35" t="s">
        <v>522</v>
      </c>
      <c r="D24" s="35" t="s">
        <v>105</v>
      </c>
      <c r="E24" s="35" t="s">
        <v>132</v>
      </c>
      <c r="F24" s="38" t="n">
        <f aca="false">F13/F4</f>
        <v>0.632036899654461</v>
      </c>
      <c r="G24" s="38" t="n">
        <f aca="false">G13/G4</f>
        <v>0.630678492504734</v>
      </c>
      <c r="H24" s="38" t="n">
        <f aca="false">H13/H4</f>
        <v>0.580872341531613</v>
      </c>
      <c r="I24" s="38" t="n">
        <f aca="false">I13/I4</f>
        <v>0.597388277456034</v>
      </c>
      <c r="J24" s="37" t="s">
        <v>133</v>
      </c>
      <c r="K24" s="37" t="s">
        <v>133</v>
      </c>
      <c r="L24" s="37" t="s">
        <v>133</v>
      </c>
      <c r="M24" s="40" t="n">
        <f aca="false">IFERROR((G24-F24)*100,"n.d.")</f>
        <v>-0.135840714972624</v>
      </c>
      <c r="N24" s="40" t="n">
        <f aca="false">IFERROR((H24-G24)*100,"n.d.")</f>
        <v>-4.98061509731216</v>
      </c>
      <c r="O24" s="40" t="n">
        <f aca="false">IFERROR((I24-H24)*100,"n.d.")</f>
        <v>1.65159359244211</v>
      </c>
      <c r="P24" s="40" t="n">
        <f aca="false">IFERROR((I24-F24)*100,"n.d.")</f>
        <v>-3.46486221984267</v>
      </c>
      <c r="Q24" s="40" t="n">
        <f aca="false">IFERROR((I24-F24)*100,"n.d.")</f>
        <v>-3.46486221984267</v>
      </c>
      <c r="R24" s="40" t="n">
        <f aca="false">IFERROR((I24-G24)*100,"n.d.")</f>
        <v>-3.32902150487004</v>
      </c>
      <c r="S24" s="38" t="s">
        <v>133</v>
      </c>
      <c r="T24" s="38" t="s">
        <v>133</v>
      </c>
      <c r="U24" s="38" t="s">
        <v>133</v>
      </c>
      <c r="V24" s="38" t="s">
        <v>133</v>
      </c>
      <c r="W24" s="35" t="s">
        <v>128</v>
      </c>
      <c r="X24" s="35" t="s">
        <v>128</v>
      </c>
      <c r="Y24" s="35" t="s">
        <v>128</v>
      </c>
      <c r="Z24" s="35" t="s">
        <v>128</v>
      </c>
      <c r="AA24" s="35" t="s">
        <v>52</v>
      </c>
      <c r="AB24" s="35" t="s">
        <v>527</v>
      </c>
    </row>
    <row r="25" customFormat="false" ht="22.35" hidden="false" customHeight="false" outlineLevel="0" collapsed="false">
      <c r="A25" s="35" t="s">
        <v>135</v>
      </c>
      <c r="B25" s="35" t="s">
        <v>528</v>
      </c>
      <c r="C25" s="35" t="s">
        <v>522</v>
      </c>
      <c r="D25" s="35" t="s">
        <v>105</v>
      </c>
      <c r="E25" s="35" t="s">
        <v>132</v>
      </c>
      <c r="F25" s="38" t="n">
        <f aca="false">F17/F4</f>
        <v>0.0678753875814741</v>
      </c>
      <c r="G25" s="38" t="n">
        <f aca="false">G17/G4</f>
        <v>0.0622931167413326</v>
      </c>
      <c r="H25" s="38" t="n">
        <f aca="false">H17/H4</f>
        <v>0.0604559114796944</v>
      </c>
      <c r="I25" s="38" t="n">
        <f aca="false">I17/I4</f>
        <v>0.0730277646636207</v>
      </c>
      <c r="J25" s="37" t="s">
        <v>133</v>
      </c>
      <c r="K25" s="37" t="s">
        <v>133</v>
      </c>
      <c r="L25" s="37" t="s">
        <v>133</v>
      </c>
      <c r="M25" s="40" t="n">
        <f aca="false">IFERROR((G25-F25)*100,"n.d.")</f>
        <v>-0.558227084014142</v>
      </c>
      <c r="N25" s="40" t="n">
        <f aca="false">IFERROR((H25-G25)*100,"n.d.")</f>
        <v>-0.183720526163825</v>
      </c>
      <c r="O25" s="40" t="n">
        <f aca="false">IFERROR((I25-H25)*100,"n.d.")</f>
        <v>1.25718531839263</v>
      </c>
      <c r="P25" s="40" t="n">
        <f aca="false">IFERROR((I25-F25)*100,"n.d.")</f>
        <v>0.515237708214664</v>
      </c>
      <c r="Q25" s="40" t="n">
        <f aca="false">IFERROR((I25-F25)*100,"n.d.")</f>
        <v>0.515237708214664</v>
      </c>
      <c r="R25" s="40" t="n">
        <f aca="false">IFERROR((I25-G25)*100,"n.d.")</f>
        <v>1.07346479222881</v>
      </c>
      <c r="S25" s="38" t="s">
        <v>133</v>
      </c>
      <c r="T25" s="38" t="s">
        <v>133</v>
      </c>
      <c r="U25" s="38" t="s">
        <v>133</v>
      </c>
      <c r="V25" s="38" t="s">
        <v>133</v>
      </c>
      <c r="W25" s="35" t="s">
        <v>128</v>
      </c>
      <c r="X25" s="35" t="s">
        <v>128</v>
      </c>
      <c r="Y25" s="35" t="s">
        <v>128</v>
      </c>
      <c r="Z25" s="35" t="s">
        <v>128</v>
      </c>
      <c r="AA25" s="35" t="s">
        <v>52</v>
      </c>
      <c r="AB25" s="35" t="s">
        <v>529</v>
      </c>
    </row>
    <row r="26" customFormat="false" ht="22.35" hidden="false" customHeight="false" outlineLevel="0" collapsed="false">
      <c r="A26" s="35" t="s">
        <v>136</v>
      </c>
      <c r="B26" s="35" t="s">
        <v>25</v>
      </c>
      <c r="C26" s="35" t="s">
        <v>522</v>
      </c>
      <c r="D26" s="35" t="s">
        <v>105</v>
      </c>
      <c r="E26" s="35" t="s">
        <v>132</v>
      </c>
      <c r="F26" s="38" t="n">
        <f aca="false">F21/F4</f>
        <v>0.564161512072987</v>
      </c>
      <c r="G26" s="38" t="n">
        <f aca="false">G21/G4</f>
        <v>0.568385375763402</v>
      </c>
      <c r="H26" s="38" t="n">
        <f aca="false">H21/H4</f>
        <v>0.520416430051918</v>
      </c>
      <c r="I26" s="38" t="n">
        <f aca="false">I21/I4</f>
        <v>0.524360512792413</v>
      </c>
      <c r="J26" s="37" t="s">
        <v>133</v>
      </c>
      <c r="K26" s="37" t="s">
        <v>133</v>
      </c>
      <c r="L26" s="37" t="s">
        <v>133</v>
      </c>
      <c r="M26" s="40" t="n">
        <f aca="false">IFERROR((G26-F26)*100,"n.d.")</f>
        <v>0.422386369041516</v>
      </c>
      <c r="N26" s="40" t="n">
        <f aca="false">IFERROR((H26-G26)*100,"n.d.")</f>
        <v>-4.79689457114833</v>
      </c>
      <c r="O26" s="40" t="n">
        <f aca="false">IFERROR((I26-H26)*100,"n.d.")</f>
        <v>0.394408274049474</v>
      </c>
      <c r="P26" s="40" t="n">
        <f aca="false">IFERROR((I26-F26)*100,"n.d.")</f>
        <v>-3.98009992805733</v>
      </c>
      <c r="Q26" s="40" t="n">
        <f aca="false">IFERROR((I26-F26)*100,"n.d.")</f>
        <v>-3.98009992805733</v>
      </c>
      <c r="R26" s="40" t="n">
        <f aca="false">IFERROR((I26-G26)*100,"n.d.")</f>
        <v>-4.40248629709885</v>
      </c>
      <c r="S26" s="38" t="s">
        <v>133</v>
      </c>
      <c r="T26" s="38" t="s">
        <v>133</v>
      </c>
      <c r="U26" s="38" t="s">
        <v>133</v>
      </c>
      <c r="V26" s="38" t="s">
        <v>133</v>
      </c>
      <c r="W26" s="35" t="s">
        <v>128</v>
      </c>
      <c r="X26" s="35" t="s">
        <v>128</v>
      </c>
      <c r="Y26" s="35" t="s">
        <v>128</v>
      </c>
      <c r="Z26" s="35" t="s">
        <v>128</v>
      </c>
      <c r="AA26" s="35" t="s">
        <v>52</v>
      </c>
      <c r="AB26" s="35" t="s">
        <v>530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4" t="s">
        <v>457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19" t="s">
        <v>531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5" hidden="false" customHeight="false" outlineLevel="0" collapsed="false">
      <c r="A30" s="19" t="s">
        <v>532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Format="false" ht="15" hidden="false" customHeight="false" outlineLevel="0" collapsed="false">
      <c r="A31" s="19" t="s">
        <v>533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" hidden="false" customHeight="false" outlineLevel="0" collapsed="false">
      <c r="A32" s="19" t="s">
        <v>461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" hidden="false" customHeight="false" outlineLevel="0" collapsed="false">
      <c r="A33" s="19" t="s">
        <v>462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" hidden="false" customHeight="false" outlineLevel="0" collapsed="false">
      <c r="A34" s="19" t="s">
        <v>463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" hidden="false" customHeight="false" outlineLevel="0" collapsed="false">
      <c r="A35" s="19" t="s">
        <v>464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" hidden="false" customHeight="false" outlineLevel="0" collapsed="false">
      <c r="A36" s="19" t="s">
        <v>465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" hidden="false" customHeight="false" outlineLevel="0" collapsed="false">
      <c r="A37" s="19" t="s">
        <v>466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</sheetData>
  <autoFilter ref="A3:AB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534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535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32.8" hidden="false" customHeight="false" outlineLevel="0" collapsed="false">
      <c r="A4" s="30" t="s">
        <v>137</v>
      </c>
      <c r="B4" s="30" t="s">
        <v>536</v>
      </c>
      <c r="C4" s="30" t="s">
        <v>139</v>
      </c>
      <c r="D4" s="30" t="s">
        <v>140</v>
      </c>
      <c r="E4" s="30" t="s">
        <v>106</v>
      </c>
      <c r="F4" s="55" t="n">
        <v>1289</v>
      </c>
      <c r="G4" s="55" t="n">
        <v>1537</v>
      </c>
      <c r="H4" s="55" t="n">
        <v>2218</v>
      </c>
      <c r="I4" s="55" t="n">
        <v>2886</v>
      </c>
      <c r="J4" s="32" t="n">
        <f aca="false">IFERROR(F4*FATOR_2016,"n.d.")</f>
        <v>1998.20776221287</v>
      </c>
      <c r="K4" s="32" t="n">
        <f aca="false">IFERROR(G4*FATOR_2019,"n.d.")</f>
        <v>2138.78233729618</v>
      </c>
      <c r="L4" s="32" t="n">
        <f aca="false">IFERROR(H4*FATOR_2022,"n.d.")</f>
        <v>2536.34058531778</v>
      </c>
      <c r="M4" s="33" t="n">
        <f aca="false">IFERROR(K4/J4-1,"n.d.")</f>
        <v>0.0703503298013586</v>
      </c>
      <c r="N4" s="33" t="n">
        <f aca="false">IFERROR(L4/K4-1,"n.d.")</f>
        <v>0.18588064857698</v>
      </c>
      <c r="O4" s="33" t="n">
        <f aca="false">IFERROR(I4/L4-1,"n.d.")</f>
        <v>0.137859803492601</v>
      </c>
      <c r="P4" s="33" t="n">
        <f aca="false">IFERROR(I4/J4-1,"n.d.")</f>
        <v>0.444294259373693</v>
      </c>
      <c r="Q4" s="32" t="n">
        <f aca="false">IFERROR(I4-F4,"n.d.")</f>
        <v>1597</v>
      </c>
      <c r="R4" s="32" t="n">
        <f aca="false">IFERROR(I4-G4,"n.d.")</f>
        <v>1349</v>
      </c>
      <c r="S4" s="33" t="n">
        <f aca="false">IFERROR(F4/PIB_2016,"n.d.")</f>
        <v>0.205604206001697</v>
      </c>
      <c r="T4" s="33" t="n">
        <f aca="false">IFERROR(G4/PIB_2019,"n.d.")</f>
        <v>0.208008221805785</v>
      </c>
      <c r="U4" s="33" t="n">
        <f aca="false">IFERROR(H4/PIB_2022,"n.d.")</f>
        <v>0.220046755471108</v>
      </c>
      <c r="V4" s="33" t="n">
        <f aca="false">IFERROR(I4/PIB_2025,"n.d.")</f>
        <v>0.226556113144918</v>
      </c>
      <c r="W4" s="30" t="s">
        <v>141</v>
      </c>
      <c r="X4" s="30" t="s">
        <v>142</v>
      </c>
      <c r="Y4" s="30" t="s">
        <v>141</v>
      </c>
      <c r="Z4" s="30" t="s">
        <v>142</v>
      </c>
      <c r="AA4" s="30" t="s">
        <v>50</v>
      </c>
      <c r="AB4" s="30" t="s">
        <v>537</v>
      </c>
    </row>
    <row r="5" customFormat="false" ht="15" hidden="false" customHeight="false" outlineLevel="0" collapsed="false">
      <c r="A5" s="30" t="s">
        <v>538</v>
      </c>
      <c r="B5" s="30" t="s">
        <v>539</v>
      </c>
      <c r="C5" s="30" t="s">
        <v>540</v>
      </c>
      <c r="D5" s="30" t="s">
        <v>153</v>
      </c>
      <c r="E5" s="30" t="s">
        <v>106</v>
      </c>
      <c r="F5" s="55" t="n">
        <v>819.752</v>
      </c>
      <c r="G5" s="55" t="n">
        <v>946.083</v>
      </c>
      <c r="H5" s="55" t="n">
        <v>1390</v>
      </c>
      <c r="I5" s="55" t="n">
        <v>1859.844</v>
      </c>
      <c r="J5" s="32" t="n">
        <f aca="false">IFERROR(F5*FATOR_2016,"n.d.")</f>
        <v>1270.77952636891</v>
      </c>
      <c r="K5" s="32" t="n">
        <f aca="false">IFERROR(G5*FATOR_2019,"n.d.")</f>
        <v>1316.50332466895</v>
      </c>
      <c r="L5" s="32" t="n">
        <f aca="false">IFERROR(H5*FATOR_2022,"n.d.")</f>
        <v>1589.50108818382</v>
      </c>
      <c r="M5" s="33" t="n">
        <f aca="false">IFERROR(K5/J5-1,"n.d.")</f>
        <v>0.0359809056970677</v>
      </c>
      <c r="N5" s="33" t="n">
        <f aca="false">IFERROR(L5/K5-1,"n.d.")</f>
        <v>0.207365798778759</v>
      </c>
      <c r="O5" s="33" t="n">
        <f aca="false">IFERROR(I5/L5-1,"n.d.")</f>
        <v>0.170080356550793</v>
      </c>
      <c r="P5" s="33" t="n">
        <f aca="false">IFERROR(I5/J5-1,"n.d.")</f>
        <v>0.463545769669635</v>
      </c>
      <c r="Q5" s="32" t="n">
        <f aca="false">IFERROR(I5-F5,"n.d.")</f>
        <v>1040.092</v>
      </c>
      <c r="R5" s="32" t="n">
        <f aca="false">IFERROR(I5-G5,"n.d.")</f>
        <v>913.761</v>
      </c>
      <c r="S5" s="33" t="n">
        <f aca="false">IFERROR(F5/PIB_2016,"n.d.")</f>
        <v>0.130755980665867</v>
      </c>
      <c r="T5" s="33" t="n">
        <f aca="false">IFERROR(G5/PIB_2019,"n.d.")</f>
        <v>0.128037112889188</v>
      </c>
      <c r="U5" s="33" t="n">
        <f aca="false">IFERROR(H5/PIB_2022,"n.d.")</f>
        <v>0.137901257937259</v>
      </c>
      <c r="V5" s="33" t="n">
        <f aca="false">IFERROR(I5/PIB_2025,"n.d.")</f>
        <v>0.146001049097677</v>
      </c>
      <c r="W5" s="30" t="s">
        <v>154</v>
      </c>
      <c r="X5" s="30" t="s">
        <v>154</v>
      </c>
      <c r="Y5" s="30" t="s">
        <v>154</v>
      </c>
      <c r="Z5" s="30" t="s">
        <v>154</v>
      </c>
      <c r="AA5" s="30" t="s">
        <v>50</v>
      </c>
      <c r="AB5" s="30" t="s">
        <v>541</v>
      </c>
    </row>
    <row r="6" customFormat="false" ht="15" hidden="false" customHeight="false" outlineLevel="0" collapsed="false">
      <c r="A6" s="30" t="s">
        <v>542</v>
      </c>
      <c r="B6" s="30" t="s">
        <v>543</v>
      </c>
      <c r="C6" s="30" t="s">
        <v>544</v>
      </c>
      <c r="D6" s="30" t="s">
        <v>153</v>
      </c>
      <c r="E6" s="30" t="s">
        <v>106</v>
      </c>
      <c r="F6" s="55" t="n">
        <v>341.115</v>
      </c>
      <c r="G6" s="55" t="n">
        <v>398.37</v>
      </c>
      <c r="H6" s="55" t="n">
        <v>667.223</v>
      </c>
      <c r="I6" s="55" t="n">
        <v>867.31</v>
      </c>
      <c r="J6" s="32" t="n">
        <f aca="false">IFERROR(F6*FATOR_2016,"n.d.")</f>
        <v>528.796463000189</v>
      </c>
      <c r="K6" s="32" t="n">
        <f aca="false">IFERROR(G6*FATOR_2019,"n.d.")</f>
        <v>554.343994605517</v>
      </c>
      <c r="L6" s="32" t="n">
        <f aca="false">IFERROR(H6*FATOR_2022,"n.d.")</f>
        <v>762.986823425377</v>
      </c>
      <c r="M6" s="33" t="n">
        <f aca="false">IFERROR(K6/J6-1,"n.d.")</f>
        <v>0.048312599256775</v>
      </c>
      <c r="N6" s="33" t="n">
        <f aca="false">IFERROR(L6/K6-1,"n.d.")</f>
        <v>0.376377900455718</v>
      </c>
      <c r="O6" s="33" t="n">
        <f aca="false">IFERROR(I6/L6-1,"n.d.")</f>
        <v>0.136729984544518</v>
      </c>
      <c r="P6" s="33" t="n">
        <f aca="false">IFERROR(I6/J6-1,"n.d.")</f>
        <v>0.64015847435744</v>
      </c>
      <c r="Q6" s="32" t="n">
        <f aca="false">IFERROR(I6-F6,"n.d.")</f>
        <v>526.195</v>
      </c>
      <c r="R6" s="32" t="n">
        <f aca="false">IFERROR(I6-G6,"n.d.")</f>
        <v>468.94</v>
      </c>
      <c r="S6" s="33" t="n">
        <f aca="false">IFERROR(F6/PIB_2016,"n.d.")</f>
        <v>0.0544101464160348</v>
      </c>
      <c r="T6" s="33" t="n">
        <f aca="false">IFERROR(G6/PIB_2019,"n.d.")</f>
        <v>0.0539129702802671</v>
      </c>
      <c r="U6" s="33" t="n">
        <f aca="false">IFERROR(H6/PIB_2022,"n.d.")</f>
        <v>0.0661948856292603</v>
      </c>
      <c r="V6" s="33" t="n">
        <f aca="false">IFERROR(I6/PIB_2025,"n.d.")</f>
        <v>0.0680853716187521</v>
      </c>
      <c r="W6" s="30" t="s">
        <v>154</v>
      </c>
      <c r="X6" s="30" t="s">
        <v>155</v>
      </c>
      <c r="Y6" s="30" t="s">
        <v>154</v>
      </c>
      <c r="Z6" s="30" t="s">
        <v>155</v>
      </c>
      <c r="AA6" s="30" t="s">
        <v>50</v>
      </c>
      <c r="AB6" s="30" t="s">
        <v>436</v>
      </c>
    </row>
    <row r="7" customFormat="false" ht="15" hidden="false" customHeight="false" outlineLevel="0" collapsed="false">
      <c r="A7" s="30" t="s">
        <v>545</v>
      </c>
      <c r="B7" s="30" t="s">
        <v>546</v>
      </c>
      <c r="C7" s="30" t="s">
        <v>544</v>
      </c>
      <c r="D7" s="30" t="s">
        <v>153</v>
      </c>
      <c r="E7" s="30" t="s">
        <v>106</v>
      </c>
      <c r="F7" s="55" t="n">
        <v>204.679</v>
      </c>
      <c r="G7" s="55" t="n">
        <v>238.7</v>
      </c>
      <c r="H7" s="55" t="n">
        <v>276.748</v>
      </c>
      <c r="I7" s="55" t="n">
        <v>391.53</v>
      </c>
      <c r="J7" s="32" t="n">
        <f aca="false">IFERROR(F7*FATOR_2016,"n.d.")</f>
        <v>317.29337979982</v>
      </c>
      <c r="K7" s="32" t="n">
        <f aca="false">IFERROR(G7*FATOR_2019,"n.d.")</f>
        <v>332.158323950942</v>
      </c>
      <c r="L7" s="32" t="n">
        <f aca="false">IFERROR(H7*FATOR_2022,"n.d.")</f>
        <v>316.468523131436</v>
      </c>
      <c r="M7" s="33" t="n">
        <f aca="false">IFERROR(K7/J7-1,"n.d.")</f>
        <v>0.0468492099031517</v>
      </c>
      <c r="N7" s="33" t="n">
        <f aca="false">IFERROR(L7/K7-1,"n.d.")</f>
        <v>-0.0472359103721369</v>
      </c>
      <c r="O7" s="33" t="n">
        <f aca="false">IFERROR(I7/L7-1,"n.d.")</f>
        <v>0.237184653076506</v>
      </c>
      <c r="P7" s="33" t="n">
        <f aca="false">IFERROR(I7/J7-1,"n.d.")</f>
        <v>0.233968386756181</v>
      </c>
      <c r="Q7" s="32" t="n">
        <f aca="false">IFERROR(I7-F7,"n.d.")</f>
        <v>186.851</v>
      </c>
      <c r="R7" s="32" t="n">
        <f aca="false">IFERROR(I7-G7,"n.d.")</f>
        <v>152.83</v>
      </c>
      <c r="S7" s="33" t="n">
        <f aca="false">IFERROR(F7/PIB_2016,"n.d.")</f>
        <v>0.0326476829171616</v>
      </c>
      <c r="T7" s="33" t="n">
        <f aca="false">IFERROR(G7/PIB_2019,"n.d.")</f>
        <v>0.0323042046486928</v>
      </c>
      <c r="U7" s="33" t="n">
        <f aca="false">IFERROR(H7/PIB_2022,"n.d.")</f>
        <v>0.0274560412457702</v>
      </c>
      <c r="V7" s="33" t="n">
        <f aca="false">IFERROR(I7/PIB_2025,"n.d.")</f>
        <v>0.0307357986762403</v>
      </c>
      <c r="W7" s="30" t="s">
        <v>154</v>
      </c>
      <c r="X7" s="30" t="s">
        <v>155</v>
      </c>
      <c r="Y7" s="30" t="s">
        <v>154</v>
      </c>
      <c r="Z7" s="30" t="s">
        <v>155</v>
      </c>
      <c r="AA7" s="30" t="s">
        <v>50</v>
      </c>
      <c r="AB7" s="30" t="s">
        <v>436</v>
      </c>
    </row>
    <row r="8" customFormat="false" ht="15" hidden="false" customHeight="false" outlineLevel="0" collapsed="false">
      <c r="A8" s="30" t="s">
        <v>547</v>
      </c>
      <c r="B8" s="30" t="s">
        <v>548</v>
      </c>
      <c r="C8" s="30" t="s">
        <v>544</v>
      </c>
      <c r="D8" s="30" t="s">
        <v>153</v>
      </c>
      <c r="E8" s="30" t="s">
        <v>106</v>
      </c>
      <c r="F8" s="55" t="n">
        <v>68.143</v>
      </c>
      <c r="G8" s="55" t="n">
        <v>82.02</v>
      </c>
      <c r="H8" s="55" t="n">
        <v>158.497</v>
      </c>
      <c r="I8" s="55" t="n">
        <v>177.8</v>
      </c>
      <c r="J8" s="32" t="n">
        <f aca="false">IFERROR(F8*FATOR_2016,"n.d.")</f>
        <v>105.635276602383</v>
      </c>
      <c r="K8" s="32" t="n">
        <f aca="false">IFERROR(G8*FATOR_2019,"n.d.")</f>
        <v>114.133329411212</v>
      </c>
      <c r="L8" s="32" t="n">
        <f aca="false">IFERROR(H8*FATOR_2022,"n.d.")</f>
        <v>181.245434513576</v>
      </c>
      <c r="M8" s="33" t="n">
        <f aca="false">IFERROR(K8/J8-1,"n.d.")</f>
        <v>0.0804471108720255</v>
      </c>
      <c r="N8" s="33" t="n">
        <f aca="false">IFERROR(L8/K8-1,"n.d.")</f>
        <v>0.588014959771881</v>
      </c>
      <c r="O8" s="33" t="n">
        <f aca="false">IFERROR(I8/L8-1,"n.d.")</f>
        <v>-0.0190097727030931</v>
      </c>
      <c r="P8" s="33" t="n">
        <f aca="false">IFERROR(I8/J8-1,"n.d.")</f>
        <v>0.683149850302841</v>
      </c>
      <c r="Q8" s="32" t="n">
        <f aca="false">IFERROR(I8-F8,"n.d.")</f>
        <v>109.657</v>
      </c>
      <c r="R8" s="32" t="n">
        <f aca="false">IFERROR(I8-G8,"n.d.")</f>
        <v>95.78</v>
      </c>
      <c r="S8" s="33" t="n">
        <f aca="false">IFERROR(F8/PIB_2016,"n.d.")</f>
        <v>0.010869268742881</v>
      </c>
      <c r="T8" s="33" t="n">
        <f aca="false">IFERROR(G8/PIB_2019,"n.d.")</f>
        <v>0.0111000874121734</v>
      </c>
      <c r="U8" s="33" t="n">
        <f aca="false">IFERROR(H8/PIB_2022,"n.d.")</f>
        <v>0.0157244141577567</v>
      </c>
      <c r="V8" s="33" t="n">
        <f aca="false">IFERROR(I8/PIB_2025,"n.d.")</f>
        <v>0.0139576150094131</v>
      </c>
      <c r="W8" s="30" t="s">
        <v>154</v>
      </c>
      <c r="X8" s="30" t="s">
        <v>155</v>
      </c>
      <c r="Y8" s="30" t="s">
        <v>154</v>
      </c>
      <c r="Z8" s="30" t="s">
        <v>155</v>
      </c>
      <c r="AA8" s="30" t="s">
        <v>50</v>
      </c>
      <c r="AB8" s="30" t="s">
        <v>436</v>
      </c>
    </row>
    <row r="9" customFormat="false" ht="15" hidden="false" customHeight="false" outlineLevel="0" collapsed="false">
      <c r="A9" s="30" t="s">
        <v>549</v>
      </c>
      <c r="B9" s="30" t="s">
        <v>550</v>
      </c>
      <c r="C9" s="30" t="s">
        <v>544</v>
      </c>
      <c r="D9" s="30" t="s">
        <v>153</v>
      </c>
      <c r="E9" s="30" t="s">
        <v>106</v>
      </c>
      <c r="F9" s="55" t="n">
        <v>33.782</v>
      </c>
      <c r="G9" s="55" t="n">
        <v>41.04</v>
      </c>
      <c r="H9" s="55" t="n">
        <v>59.091</v>
      </c>
      <c r="I9" s="55" t="n">
        <v>86.38</v>
      </c>
      <c r="J9" s="32" t="n">
        <f aca="false">IFERROR(F9*FATOR_2016,"n.d.")</f>
        <v>52.3688554096782</v>
      </c>
      <c r="K9" s="32" t="n">
        <f aca="false">IFERROR(G9*FATOR_2019,"n.d.")</f>
        <v>57.1084106198017</v>
      </c>
      <c r="L9" s="32" t="n">
        <f aca="false">IFERROR(H9*FATOR_2022,"n.d.")</f>
        <v>67.572092663216</v>
      </c>
      <c r="M9" s="33" t="n">
        <f aca="false">IFERROR(K9/J9-1,"n.d.")</f>
        <v>0.0905033186814244</v>
      </c>
      <c r="N9" s="33" t="n">
        <f aca="false">IFERROR(L9/K9-1,"n.d.")</f>
        <v>0.183224886314489</v>
      </c>
      <c r="O9" s="33" t="n">
        <f aca="false">IFERROR(I9/L9-1,"n.d.")</f>
        <v>0.278338387868553</v>
      </c>
      <c r="P9" s="33" t="n">
        <f aca="false">IFERROR(I9/J9-1,"n.d.")</f>
        <v>0.649453655693921</v>
      </c>
      <c r="Q9" s="32" t="n">
        <f aca="false">IFERROR(I9-F9,"n.d.")</f>
        <v>52.598</v>
      </c>
      <c r="R9" s="32" t="n">
        <f aca="false">IFERROR(I9-G9,"n.d.")</f>
        <v>45.34</v>
      </c>
      <c r="S9" s="33" t="n">
        <f aca="false">IFERROR(F9/PIB_2016,"n.d.")</f>
        <v>0.00538845716613601</v>
      </c>
      <c r="T9" s="33" t="n">
        <f aca="false">IFERROR(G9/PIB_2019,"n.d.")</f>
        <v>0.00555410372342837</v>
      </c>
      <c r="U9" s="33" t="n">
        <f aca="false">IFERROR(H9/PIB_2022,"n.d.")</f>
        <v>0.00586239081494286</v>
      </c>
      <c r="V9" s="33" t="n">
        <f aca="false">IFERROR(I9/PIB_2025,"n.d.")</f>
        <v>0.00678098304000623</v>
      </c>
      <c r="W9" s="30" t="s">
        <v>154</v>
      </c>
      <c r="X9" s="30" t="s">
        <v>155</v>
      </c>
      <c r="Y9" s="30" t="s">
        <v>154</v>
      </c>
      <c r="Z9" s="30" t="s">
        <v>155</v>
      </c>
      <c r="AA9" s="30" t="s">
        <v>50</v>
      </c>
      <c r="AB9" s="30" t="s">
        <v>551</v>
      </c>
    </row>
    <row r="10" customFormat="false" ht="15" hidden="false" customHeight="false" outlineLevel="0" collapsed="false">
      <c r="A10" s="30" t="s">
        <v>552</v>
      </c>
      <c r="B10" s="30" t="s">
        <v>553</v>
      </c>
      <c r="C10" s="30" t="s">
        <v>544</v>
      </c>
      <c r="D10" s="30" t="s">
        <v>153</v>
      </c>
      <c r="E10" s="30" t="s">
        <v>106</v>
      </c>
      <c r="F10" s="55" t="n">
        <v>358.137</v>
      </c>
      <c r="G10" s="55" t="n">
        <v>413.331</v>
      </c>
      <c r="H10" s="55" t="n">
        <v>535.71</v>
      </c>
      <c r="I10" s="55" t="n">
        <v>709.714</v>
      </c>
      <c r="J10" s="32" t="n">
        <f aca="false">IFERROR(F10*FATOR_2016,"n.d.")</f>
        <v>555.183966901187</v>
      </c>
      <c r="K10" s="32" t="n">
        <f aca="false">IFERROR(G10*FATOR_2019,"n.d.")</f>
        <v>575.162682014943</v>
      </c>
      <c r="L10" s="32" t="n">
        <f aca="false">IFERROR(H10*FATOR_2022,"n.d.")</f>
        <v>612.598293489896</v>
      </c>
      <c r="M10" s="33" t="n">
        <f aca="false">IFERROR(K10/J10-1,"n.d.")</f>
        <v>0.0359857566227437</v>
      </c>
      <c r="N10" s="33" t="n">
        <f aca="false">IFERROR(L10/K10-1,"n.d.")</f>
        <v>0.0650869965064604</v>
      </c>
      <c r="O10" s="33" t="n">
        <f aca="false">IFERROR(I10/L10-1,"n.d.")</f>
        <v>0.158530814633596</v>
      </c>
      <c r="P10" s="33" t="n">
        <f aca="false">IFERROR(I10/J10-1,"n.d.")</f>
        <v>0.278340230106674</v>
      </c>
      <c r="Q10" s="32" t="n">
        <f aca="false">IFERROR(I10-F10,"n.d.")</f>
        <v>351.577</v>
      </c>
      <c r="R10" s="32" t="n">
        <f aca="false">IFERROR(I10-G10,"n.d.")</f>
        <v>296.383</v>
      </c>
      <c r="S10" s="33" t="n">
        <f aca="false">IFERROR(F10/PIB_2016,"n.d.")</f>
        <v>0.0571252703838865</v>
      </c>
      <c r="T10" s="33" t="n">
        <f aca="false">IFERROR(G10/PIB_2019,"n.d.")</f>
        <v>0.0559377009285666</v>
      </c>
      <c r="U10" s="33" t="n">
        <f aca="false">IFERROR(H10/PIB_2022,"n.d.")</f>
        <v>0.053147541647172</v>
      </c>
      <c r="V10" s="33" t="n">
        <f aca="false">IFERROR(I10/PIB_2025,"n.d.")</f>
        <v>0.0557138064048968</v>
      </c>
      <c r="W10" s="30" t="s">
        <v>154</v>
      </c>
      <c r="X10" s="30" t="s">
        <v>155</v>
      </c>
      <c r="Y10" s="30" t="s">
        <v>154</v>
      </c>
      <c r="Z10" s="30" t="s">
        <v>155</v>
      </c>
      <c r="AA10" s="30" t="s">
        <v>50</v>
      </c>
      <c r="AB10" s="30" t="s">
        <v>436</v>
      </c>
    </row>
    <row r="11" customFormat="false" ht="22.35" hidden="false" customHeight="false" outlineLevel="0" collapsed="false">
      <c r="A11" s="30" t="s">
        <v>554</v>
      </c>
      <c r="B11" s="30" t="s">
        <v>555</v>
      </c>
      <c r="C11" s="30" t="s">
        <v>556</v>
      </c>
      <c r="D11" s="30" t="s">
        <v>153</v>
      </c>
      <c r="E11" s="30" t="s">
        <v>106</v>
      </c>
      <c r="F11" s="55" t="n">
        <v>21.908</v>
      </c>
      <c r="G11" s="55" t="n">
        <v>93.28</v>
      </c>
      <c r="H11" s="55" t="n">
        <v>46.847</v>
      </c>
      <c r="I11" s="55" t="n">
        <v>7.2</v>
      </c>
      <c r="J11" s="32" t="n">
        <f aca="false">IFERROR(F11*FATOR_2016,"n.d.")</f>
        <v>33.9617809577654</v>
      </c>
      <c r="K11" s="32" t="n">
        <f aca="false">IFERROR(G11*FATOR_2019,"n.d.")</f>
        <v>129.801962539354</v>
      </c>
      <c r="L11" s="32" t="n">
        <f aca="false">IFERROR(H11*FATOR_2022,"n.d.")</f>
        <v>53.5707607756457</v>
      </c>
      <c r="M11" s="33" t="n">
        <f aca="false">IFERROR(K11/J11-1,"n.d.")</f>
        <v>2.82200105173445</v>
      </c>
      <c r="N11" s="33" t="n">
        <f aca="false">IFERROR(L11/K11-1,"n.d.")</f>
        <v>-0.587288514536876</v>
      </c>
      <c r="O11" s="33" t="n">
        <f aca="false">IFERROR(I11/L11-1,"n.d.")</f>
        <v>-0.865598324613055</v>
      </c>
      <c r="P11" s="33" t="n">
        <f aca="false">IFERROR(I11/J11-1,"n.d.")</f>
        <v>-0.787996983757893</v>
      </c>
      <c r="Q11" s="32" t="n">
        <f aca="false">IFERROR(I11-F11,"n.d.")</f>
        <v>-14.708</v>
      </c>
      <c r="R11" s="32" t="n">
        <f aca="false">IFERROR(I11-G11,"n.d.")</f>
        <v>-86.08</v>
      </c>
      <c r="S11" s="33" t="n">
        <f aca="false">IFERROR(F11/PIB_2016,"n.d.")</f>
        <v>0.00349447396825848</v>
      </c>
      <c r="T11" s="33" t="n">
        <f aca="false">IFERROR(G11/PIB_2019,"n.d.")</f>
        <v>0.01262394725442</v>
      </c>
      <c r="U11" s="33" t="n">
        <f aca="false">IFERROR(H11/PIB_2022,"n.d.")</f>
        <v>0.00464766923063797</v>
      </c>
      <c r="V11" s="33" t="n">
        <f aca="false">IFERROR(I11/PIB_2025,"n.d.")</f>
        <v>0.000565212756286697</v>
      </c>
      <c r="W11" s="30" t="s">
        <v>154</v>
      </c>
      <c r="X11" s="30" t="s">
        <v>155</v>
      </c>
      <c r="Y11" s="30" t="s">
        <v>154</v>
      </c>
      <c r="Z11" s="30" t="s">
        <v>155</v>
      </c>
      <c r="AA11" s="30" t="s">
        <v>50</v>
      </c>
      <c r="AB11" s="30" t="s">
        <v>557</v>
      </c>
    </row>
    <row r="12" customFormat="false" ht="15" hidden="false" customHeight="false" outlineLevel="0" collapsed="false">
      <c r="A12" s="30" t="s">
        <v>558</v>
      </c>
      <c r="B12" s="30" t="s">
        <v>559</v>
      </c>
      <c r="C12" s="30" t="s">
        <v>544</v>
      </c>
      <c r="D12" s="30" t="s">
        <v>153</v>
      </c>
      <c r="E12" s="30" t="s">
        <v>106</v>
      </c>
      <c r="F12" s="55" t="n">
        <v>2.848</v>
      </c>
      <c r="G12" s="55" t="n">
        <v>20.88</v>
      </c>
      <c r="H12" s="55" t="n">
        <v>87.004</v>
      </c>
      <c r="I12" s="55" t="n">
        <v>49.8</v>
      </c>
      <c r="J12" s="32" t="n">
        <f aca="false">IFERROR(F12*FATOR_2016,"n.d.")</f>
        <v>4.41496951651067</v>
      </c>
      <c r="K12" s="32" t="n">
        <f aca="false">IFERROR(G12*FATOR_2019,"n.d.")</f>
        <v>29.05515628025</v>
      </c>
      <c r="L12" s="32" t="n">
        <f aca="false">IFERROR(H12*FATOR_2022,"n.d.")</f>
        <v>99.4913328606801</v>
      </c>
      <c r="M12" s="33" t="n">
        <f aca="false">IFERROR(K12/J12-1,"n.d.")</f>
        <v>5.58105478907439</v>
      </c>
      <c r="N12" s="33" t="n">
        <f aca="false">IFERROR(L12/K12-1,"n.d.")</f>
        <v>2.42422294690284</v>
      </c>
      <c r="O12" s="33" t="n">
        <f aca="false">IFERROR(I12/L12-1,"n.d.")</f>
        <v>-0.499453886402989</v>
      </c>
      <c r="P12" s="33" t="n">
        <f aca="false">IFERROR(I12/J12-1,"n.d.")</f>
        <v>10.2798060810528</v>
      </c>
      <c r="Q12" s="32" t="n">
        <f aca="false">IFERROR(I12-F12,"n.d.")</f>
        <v>46.952</v>
      </c>
      <c r="R12" s="32" t="n">
        <f aca="false">IFERROR(I12-G12,"n.d.")</f>
        <v>28.92</v>
      </c>
      <c r="S12" s="33" t="n">
        <f aca="false">IFERROR(F12/PIB_2016,"n.d.")</f>
        <v>0.000454275235603439</v>
      </c>
      <c r="T12" s="33" t="n">
        <f aca="false">IFERROR(G12/PIB_2019,"n.d.")</f>
        <v>0.00282577206981443</v>
      </c>
      <c r="U12" s="33" t="n">
        <f aca="false">IFERROR(H12/PIB_2022,"n.d.")</f>
        <v>0.00863162665149158</v>
      </c>
      <c r="V12" s="33" t="n">
        <f aca="false">IFERROR(I12/PIB_2025,"n.d.")</f>
        <v>0.00390938823098298</v>
      </c>
      <c r="W12" s="30" t="s">
        <v>154</v>
      </c>
      <c r="X12" s="30" t="s">
        <v>155</v>
      </c>
      <c r="Y12" s="30" t="s">
        <v>154</v>
      </c>
      <c r="Z12" s="30" t="s">
        <v>155</v>
      </c>
      <c r="AA12" s="30" t="s">
        <v>50</v>
      </c>
      <c r="AB12" s="30" t="s">
        <v>560</v>
      </c>
    </row>
    <row r="13" customFormat="false" ht="22.35" hidden="false" customHeight="false" outlineLevel="0" collapsed="false">
      <c r="A13" s="30" t="s">
        <v>561</v>
      </c>
      <c r="B13" s="30" t="s">
        <v>562</v>
      </c>
      <c r="C13" s="30" t="s">
        <v>563</v>
      </c>
      <c r="D13" s="30" t="s">
        <v>153</v>
      </c>
      <c r="E13" s="30" t="s">
        <v>106</v>
      </c>
      <c r="F13" s="55" t="n">
        <v>23.275</v>
      </c>
      <c r="G13" s="55" t="n">
        <v>64.68</v>
      </c>
      <c r="H13" s="55" t="n">
        <v>132.482</v>
      </c>
      <c r="I13" s="55" t="n">
        <v>139.35</v>
      </c>
      <c r="J13" s="32" t="n">
        <f aca="false">IFERROR(F13*FATOR_2016,"n.d.")</f>
        <v>36.0809043176917</v>
      </c>
      <c r="K13" s="32" t="n">
        <f aca="false">IFERROR(G13*FATOR_2019,"n.d.")</f>
        <v>90.0041910060618</v>
      </c>
      <c r="L13" s="32" t="n">
        <f aca="false">IFERROR(H13*FATOR_2022,"n.d.")</f>
        <v>151.496606593359</v>
      </c>
      <c r="M13" s="33" t="n">
        <f aca="false">IFERROR(K13/J13-1,"n.d.")</f>
        <v>1.49451039845278</v>
      </c>
      <c r="N13" s="33" t="n">
        <f aca="false">IFERROR(L13/K13-1,"n.d.")</f>
        <v>0.683217246885268</v>
      </c>
      <c r="O13" s="33" t="n">
        <f aca="false">IFERROR(I13/L13-1,"n.d.")</f>
        <v>-0.0801774169500872</v>
      </c>
      <c r="P13" s="33" t="n">
        <f aca="false">IFERROR(I13/J13-1,"n.d.")</f>
        <v>2.86215375238453</v>
      </c>
      <c r="Q13" s="32" t="n">
        <f aca="false">IFERROR(I13-F13,"n.d.")</f>
        <v>116.075</v>
      </c>
      <c r="R13" s="32" t="n">
        <f aca="false">IFERROR(I13-G13,"n.d.")</f>
        <v>74.67</v>
      </c>
      <c r="S13" s="33" t="n">
        <f aca="false">IFERROR(F13/PIB_2016,"n.d.")</f>
        <v>0.00371251970107796</v>
      </c>
      <c r="T13" s="33" t="n">
        <f aca="false">IFERROR(G13/PIB_2019,"n.d.")</f>
        <v>0.00875339738867805</v>
      </c>
      <c r="U13" s="33" t="n">
        <f aca="false">IFERROR(H13/PIB_2022,"n.d.")</f>
        <v>0.0131434780244921</v>
      </c>
      <c r="V13" s="33" t="n">
        <f aca="false">IFERROR(I13/PIB_2025,"n.d.")</f>
        <v>0.0109392218872988</v>
      </c>
      <c r="W13" s="30" t="s">
        <v>154</v>
      </c>
      <c r="X13" s="30" t="s">
        <v>155</v>
      </c>
      <c r="Y13" s="30" t="s">
        <v>154</v>
      </c>
      <c r="Z13" s="30" t="s">
        <v>155</v>
      </c>
      <c r="AA13" s="30" t="s">
        <v>50</v>
      </c>
      <c r="AB13" s="30" t="s">
        <v>436</v>
      </c>
    </row>
    <row r="14" customFormat="false" ht="22.35" hidden="false" customHeight="false" outlineLevel="0" collapsed="false">
      <c r="A14" s="30" t="s">
        <v>150</v>
      </c>
      <c r="B14" s="30" t="s">
        <v>564</v>
      </c>
      <c r="C14" s="30" t="s">
        <v>152</v>
      </c>
      <c r="D14" s="30" t="s">
        <v>153</v>
      </c>
      <c r="E14" s="30" t="s">
        <v>106</v>
      </c>
      <c r="F14" s="55" t="n">
        <v>1315.985</v>
      </c>
      <c r="G14" s="55" t="n">
        <v>1635.608</v>
      </c>
      <c r="H14" s="55" t="n">
        <v>2313.305</v>
      </c>
      <c r="I14" s="55" t="n">
        <v>2902.275</v>
      </c>
      <c r="J14" s="32" t="n">
        <f aca="false">IFERROR(F14*FATOR_2016,"n.d.")</f>
        <v>2040.0399084218</v>
      </c>
      <c r="K14" s="32" t="n">
        <f aca="false">IFERROR(G14*FATOR_2019,"n.d.")</f>
        <v>2275.9983741967</v>
      </c>
      <c r="L14" s="32" t="n">
        <f aca="false">IFERROR(H14*FATOR_2022,"n.d.")</f>
        <v>2645.32432719502</v>
      </c>
      <c r="M14" s="33" t="n">
        <f aca="false">IFERROR(K14/J14-1,"n.d.")</f>
        <v>0.115663651873085</v>
      </c>
      <c r="N14" s="33" t="n">
        <f aca="false">IFERROR(L14/K14-1,"n.d.")</f>
        <v>0.162269866791389</v>
      </c>
      <c r="O14" s="33" t="n">
        <f aca="false">IFERROR(I14/L14-1,"n.d.")</f>
        <v>0.0971339015648944</v>
      </c>
      <c r="P14" s="33" t="n">
        <f aca="false">IFERROR(I14/J14-1,"n.d.")</f>
        <v>0.422655992178718</v>
      </c>
      <c r="Q14" s="32" t="n">
        <f aca="false">IFERROR(I14-F14,"n.d.")</f>
        <v>1586.29</v>
      </c>
      <c r="R14" s="32" t="n">
        <f aca="false">IFERROR(I14-G14,"n.d.")</f>
        <v>1266.667</v>
      </c>
      <c r="S14" s="33" t="n">
        <f aca="false">IFERROR(F14/PIB_2016,"n.d.")</f>
        <v>0.20990849576039</v>
      </c>
      <c r="T14" s="33" t="n">
        <f aca="false">IFERROR(G14/PIB_2019,"n.d.")</f>
        <v>0.221353228140088</v>
      </c>
      <c r="U14" s="33" t="n">
        <f aca="false">IFERROR(H14/PIB_2022,"n.d.")</f>
        <v>0.229501920498238</v>
      </c>
      <c r="V14" s="33" t="n">
        <f aca="false">IFERROR(I14/PIB_2025,"n.d.")</f>
        <v>0.227833729479441</v>
      </c>
      <c r="W14" s="30" t="s">
        <v>154</v>
      </c>
      <c r="X14" s="30" t="s">
        <v>155</v>
      </c>
      <c r="Y14" s="30" t="s">
        <v>154</v>
      </c>
      <c r="Z14" s="30" t="s">
        <v>155</v>
      </c>
      <c r="AA14" s="30" t="s">
        <v>50</v>
      </c>
      <c r="AB14" s="30" t="s">
        <v>436</v>
      </c>
    </row>
    <row r="15" customFormat="false" ht="22.35" hidden="false" customHeight="false" outlineLevel="0" collapsed="false">
      <c r="A15" s="30" t="s">
        <v>565</v>
      </c>
      <c r="B15" s="30" t="s">
        <v>566</v>
      </c>
      <c r="C15" s="30" t="s">
        <v>567</v>
      </c>
      <c r="D15" s="30" t="s">
        <v>568</v>
      </c>
      <c r="E15" s="30" t="s">
        <v>106</v>
      </c>
      <c r="F15" s="55" t="n">
        <v>226.835</v>
      </c>
      <c r="G15" s="55" t="n">
        <v>288.331</v>
      </c>
      <c r="H15" s="55" t="n">
        <v>457.204</v>
      </c>
      <c r="I15" s="55" t="n">
        <v>569.716</v>
      </c>
      <c r="J15" s="32" t="n">
        <f aca="false">IFERROR(F15*FATOR_2016,"n.d.")</f>
        <v>351.639610350315</v>
      </c>
      <c r="K15" s="32" t="n">
        <f aca="false">IFERROR(G15*FATOR_2019,"n.d.")</f>
        <v>401.221372865937</v>
      </c>
      <c r="L15" s="32" t="n">
        <f aca="false">IFERROR(H15*FATOR_2022,"n.d.")</f>
        <v>522.824644260429</v>
      </c>
      <c r="M15" s="33" t="n">
        <f aca="false">IFERROR(K15/J15-1,"n.d.")</f>
        <v>0.141001642181967</v>
      </c>
      <c r="N15" s="33" t="n">
        <f aca="false">IFERROR(L15/K15-1,"n.d.")</f>
        <v>0.303082735911789</v>
      </c>
      <c r="O15" s="33" t="n">
        <f aca="false">IFERROR(I15/L15-1,"n.d.")</f>
        <v>0.0896884954723243</v>
      </c>
      <c r="P15" s="33" t="n">
        <f aca="false">IFERROR(I15/J15-1,"n.d.")</f>
        <v>0.620170149296974</v>
      </c>
      <c r="Q15" s="32" t="n">
        <f aca="false">IFERROR(I15-F15,"n.d.")</f>
        <v>342.881</v>
      </c>
      <c r="R15" s="32" t="n">
        <f aca="false">IFERROR(I15-G15,"n.d.")</f>
        <v>281.385</v>
      </c>
      <c r="S15" s="33" t="n">
        <f aca="false">IFERROR(F15/PIB_2016,"n.d.")</f>
        <v>0.0361817145604305</v>
      </c>
      <c r="T15" s="33" t="n">
        <f aca="false">IFERROR(G15/PIB_2019,"n.d.")</f>
        <v>0.039020962004869</v>
      </c>
      <c r="U15" s="33" t="n">
        <f aca="false">IFERROR(H15/PIB_2022,"n.d.")</f>
        <v>0.0453589976503213</v>
      </c>
      <c r="V15" s="33" t="n">
        <f aca="false">IFERROR(I15/PIB_2025,"n.d.")</f>
        <v>0.0447237153695322</v>
      </c>
      <c r="W15" s="30" t="s">
        <v>154</v>
      </c>
      <c r="X15" s="30" t="s">
        <v>155</v>
      </c>
      <c r="Y15" s="30" t="s">
        <v>154</v>
      </c>
      <c r="Z15" s="30" t="s">
        <v>155</v>
      </c>
      <c r="AA15" s="30" t="s">
        <v>50</v>
      </c>
      <c r="AB15" s="30" t="s">
        <v>436</v>
      </c>
    </row>
    <row r="16" customFormat="false" ht="22.35" hidden="false" customHeight="false" outlineLevel="0" collapsed="false">
      <c r="A16" s="30" t="s">
        <v>569</v>
      </c>
      <c r="B16" s="30" t="s">
        <v>157</v>
      </c>
      <c r="C16" s="30" t="s">
        <v>158</v>
      </c>
      <c r="D16" s="30" t="s">
        <v>153</v>
      </c>
      <c r="E16" s="30" t="s">
        <v>106</v>
      </c>
      <c r="F16" s="55" t="n">
        <v>1089.15</v>
      </c>
      <c r="G16" s="55" t="n">
        <v>1347.277</v>
      </c>
      <c r="H16" s="55" t="n">
        <v>1856.102</v>
      </c>
      <c r="I16" s="55" t="n">
        <v>2332.558</v>
      </c>
      <c r="J16" s="32" t="n">
        <f aca="false">IFERROR(F16*FATOR_2016,"n.d.")</f>
        <v>1688.40029807149</v>
      </c>
      <c r="K16" s="32" t="n">
        <f aca="false">IFERROR(G16*FATOR_2019,"n.d.")</f>
        <v>1874.77700133076</v>
      </c>
      <c r="L16" s="32" t="n">
        <f aca="false">IFERROR(H16*FATOR_2022,"n.d.")</f>
        <v>2122.50082646055</v>
      </c>
      <c r="M16" s="33" t="n">
        <f aca="false">IFERROR(K16/J16-1,"n.d.")</f>
        <v>0.110386561452376</v>
      </c>
      <c r="N16" s="33" t="n">
        <f aca="false">IFERROR(L16/K16-1,"n.d.")</f>
        <v>0.132135088575307</v>
      </c>
      <c r="O16" s="33" t="n">
        <f aca="false">IFERROR(I16/L16-1,"n.d.")</f>
        <v>0.0989668276783358</v>
      </c>
      <c r="P16" s="33" t="n">
        <f aca="false">IFERROR(I16/J16-1,"n.d.")</f>
        <v>0.381519538147605</v>
      </c>
      <c r="Q16" s="32" t="n">
        <f aca="false">IFERROR(I16-F16,"n.d.")</f>
        <v>1243.408</v>
      </c>
      <c r="R16" s="32" t="n">
        <f aca="false">IFERROR(I16-G16,"n.d.")</f>
        <v>985.281</v>
      </c>
      <c r="S16" s="33" t="n">
        <f aca="false">IFERROR(F16/PIB_2016,"n.d.")</f>
        <v>0.17372678119996</v>
      </c>
      <c r="T16" s="33" t="n">
        <f aca="false">IFERROR(G16/PIB_2019,"n.d.")</f>
        <v>0.182332266135219</v>
      </c>
      <c r="U16" s="33" t="n">
        <f aca="false">IFERROR(H16/PIB_2022,"n.d.")</f>
        <v>0.184143022057455</v>
      </c>
      <c r="V16" s="33" t="n">
        <f aca="false">IFERROR(I16/PIB_2025,"n.d.")</f>
        <v>0.183109935608137</v>
      </c>
      <c r="W16" s="30" t="s">
        <v>154</v>
      </c>
      <c r="X16" s="30" t="s">
        <v>155</v>
      </c>
      <c r="Y16" s="30" t="s">
        <v>154</v>
      </c>
      <c r="Z16" s="30" t="s">
        <v>155</v>
      </c>
      <c r="AA16" s="30" t="s">
        <v>50</v>
      </c>
      <c r="AB16" s="30" t="s">
        <v>436</v>
      </c>
    </row>
    <row r="17" customFormat="false" ht="43.25" hidden="false" customHeight="false" outlineLevel="0" collapsed="false">
      <c r="A17" s="35" t="s">
        <v>187</v>
      </c>
      <c r="B17" s="35" t="s">
        <v>570</v>
      </c>
      <c r="C17" s="35" t="s">
        <v>189</v>
      </c>
      <c r="D17" s="35" t="s">
        <v>140</v>
      </c>
      <c r="E17" s="35" t="s">
        <v>106</v>
      </c>
      <c r="F17" s="55" t="n">
        <v>271</v>
      </c>
      <c r="G17" s="57" t="n">
        <v>308.4</v>
      </c>
      <c r="H17" s="55" t="n">
        <v>461.05</v>
      </c>
      <c r="I17" s="57" t="n">
        <v>587.4</v>
      </c>
      <c r="J17" s="37" t="n">
        <f aca="false">IFERROR(F17*FATOR_2016,"n.d.")</f>
        <v>420.104192055615</v>
      </c>
      <c r="K17" s="37" t="n">
        <f aca="false">IFERROR(G17*FATOR_2019,"n.d.")</f>
        <v>429.147997932428</v>
      </c>
      <c r="L17" s="37" t="n">
        <f aca="false">IFERROR(H17*FATOR_2022,"n.d.")</f>
        <v>527.222645113058</v>
      </c>
      <c r="M17" s="38" t="n">
        <f aca="false">IFERROR(K17/J17-1,"n.d.")</f>
        <v>0.021527530664621</v>
      </c>
      <c r="N17" s="38" t="n">
        <f aca="false">IFERROR(L17/K17-1,"n.d.")</f>
        <v>0.228533390935388</v>
      </c>
      <c r="O17" s="38" t="n">
        <f aca="false">IFERROR(I17/L17-1,"n.d.")</f>
        <v>0.114140307600098</v>
      </c>
      <c r="P17" s="38" t="n">
        <f aca="false">IFERROR(I17/J17-1,"n.d.")</f>
        <v>0.398224562163469</v>
      </c>
      <c r="Q17" s="37" t="n">
        <f aca="false">IFERROR(I17-F17,"n.d.")</f>
        <v>316.4</v>
      </c>
      <c r="R17" s="37" t="n">
        <f aca="false">IFERROR(I17-G17,"n.d.")</f>
        <v>279</v>
      </c>
      <c r="S17" s="38" t="n">
        <f aca="false">IFERROR(F17/PIB_2016,"n.d.")</f>
        <v>0.0432263303541193</v>
      </c>
      <c r="T17" s="38" t="n">
        <f aca="false">IFERROR(G17/PIB_2019,"n.d.")</f>
        <v>0.0417369782725465</v>
      </c>
      <c r="U17" s="38" t="n">
        <f aca="false">IFERROR(H17/PIB_2022,"n.d.")</f>
        <v>0.0457405575337937</v>
      </c>
      <c r="V17" s="38" t="n">
        <f aca="false">IFERROR(I17/PIB_2025,"n.d.")</f>
        <v>0.0461119407003897</v>
      </c>
      <c r="W17" s="35" t="s">
        <v>190</v>
      </c>
      <c r="X17" s="35" t="s">
        <v>191</v>
      </c>
      <c r="Y17" s="35" t="s">
        <v>192</v>
      </c>
      <c r="Z17" s="35" t="s">
        <v>193</v>
      </c>
      <c r="AA17" s="35" t="s">
        <v>52</v>
      </c>
      <c r="AB17" s="35" t="s">
        <v>571</v>
      </c>
    </row>
    <row r="18" customFormat="false" ht="53.7" hidden="false" customHeight="false" outlineLevel="0" collapsed="false">
      <c r="A18" s="35" t="s">
        <v>195</v>
      </c>
      <c r="B18" s="35" t="s">
        <v>196</v>
      </c>
      <c r="C18" s="35" t="s">
        <v>197</v>
      </c>
      <c r="D18" s="35" t="s">
        <v>140</v>
      </c>
      <c r="E18" s="35" t="s">
        <v>106</v>
      </c>
      <c r="F18" s="55" t="n">
        <v>115</v>
      </c>
      <c r="G18" s="57" t="n">
        <v>40.05</v>
      </c>
      <c r="H18" s="55" t="n">
        <v>120.43</v>
      </c>
      <c r="I18" s="57" t="n">
        <v>172.5</v>
      </c>
      <c r="J18" s="37" t="n">
        <f aca="false">IFERROR(F18*FATOR_2016,"n.d.")</f>
        <v>178.272996628766</v>
      </c>
      <c r="K18" s="37" t="n">
        <f aca="false">IFERROR(G18*FATOR_2019,"n.d.")</f>
        <v>55.7307954513416</v>
      </c>
      <c r="L18" s="37" t="n">
        <f aca="false">IFERROR(H18*FATOR_2022,"n.d.")</f>
        <v>137.714831690631</v>
      </c>
      <c r="M18" s="38" t="n">
        <f aca="false">IFERROR(K18/J18-1,"n.d.")</f>
        <v>-0.687385097545678</v>
      </c>
      <c r="N18" s="38" t="n">
        <f aca="false">IFERROR(L18/K18-1,"n.d.")</f>
        <v>1.47107242190487</v>
      </c>
      <c r="O18" s="38" t="n">
        <f aca="false">IFERROR(I18/L18-1,"n.d.")</f>
        <v>0.252588395035848</v>
      </c>
      <c r="P18" s="38" t="n">
        <f aca="false">IFERROR(I18/J18-1,"n.d.")</f>
        <v>-0.0323829000349845</v>
      </c>
      <c r="Q18" s="37" t="n">
        <f aca="false">IFERROR(I18-F18,"n.d.")</f>
        <v>57.5</v>
      </c>
      <c r="R18" s="37" t="n">
        <f aca="false">IFERROR(I18-G18,"n.d.")</f>
        <v>132.45</v>
      </c>
      <c r="S18" s="38" t="n">
        <f aca="false">IFERROR(F18/PIB_2016,"n.d.")</f>
        <v>0.0183432767185377</v>
      </c>
      <c r="T18" s="38" t="n">
        <f aca="false">IFERROR(G18/PIB_2019,"n.d.")</f>
        <v>0.00542012315115269</v>
      </c>
      <c r="U18" s="38" t="n">
        <f aca="false">IFERROR(H18/PIB_2022,"n.d.")</f>
        <v>0.0119478046714994</v>
      </c>
      <c r="V18" s="38" t="n">
        <f aca="false">IFERROR(I18/PIB_2025,"n.d.")</f>
        <v>0.0135415556193688</v>
      </c>
      <c r="W18" s="35" t="s">
        <v>198</v>
      </c>
      <c r="X18" s="35" t="s">
        <v>199</v>
      </c>
      <c r="Y18" s="35" t="s">
        <v>192</v>
      </c>
      <c r="Z18" s="35" t="s">
        <v>200</v>
      </c>
      <c r="AA18" s="35" t="s">
        <v>52</v>
      </c>
      <c r="AB18" s="35" t="s">
        <v>572</v>
      </c>
    </row>
    <row r="19" customFormat="false" ht="22.35" hidden="false" customHeight="false" outlineLevel="0" collapsed="false">
      <c r="A19" s="35" t="s">
        <v>573</v>
      </c>
      <c r="B19" s="35" t="s">
        <v>574</v>
      </c>
      <c r="C19" s="35" t="s">
        <v>575</v>
      </c>
      <c r="D19" s="35" t="s">
        <v>140</v>
      </c>
      <c r="E19" s="35" t="s">
        <v>106</v>
      </c>
      <c r="F19" s="55" t="n">
        <v>386</v>
      </c>
      <c r="G19" s="57" t="n">
        <v>348.3</v>
      </c>
      <c r="H19" s="55" t="n">
        <v>581.49</v>
      </c>
      <c r="I19" s="37" t="n">
        <f aca="false">I17+I18</f>
        <v>759.9</v>
      </c>
      <c r="J19" s="37" t="n">
        <f aca="false">IFERROR(F19*FATOR_2016,"n.d.")</f>
        <v>598.377188684381</v>
      </c>
      <c r="K19" s="37" t="n">
        <f aca="false">IFERROR(G19*FATOR_2019,"n.d.")</f>
        <v>484.670063812791</v>
      </c>
      <c r="L19" s="37" t="n">
        <f aca="false">IFERROR(H19*FATOR_2022,"n.d.")</f>
        <v>664.948912063317</v>
      </c>
      <c r="M19" s="38" t="n">
        <f aca="false">IFERROR(K19/J19-1,"n.d.")</f>
        <v>-0.190025834911241</v>
      </c>
      <c r="N19" s="38" t="n">
        <f aca="false">IFERROR(L19/K19-1,"n.d.")</f>
        <v>0.371962004074097</v>
      </c>
      <c r="O19" s="38" t="n">
        <f aca="false">IFERROR(I19/L19-1,"n.d.")</f>
        <v>0.142794560926572</v>
      </c>
      <c r="P19" s="38" t="n">
        <f aca="false">IFERROR(I19/J19-1,"n.d.")</f>
        <v>0.26993477420279</v>
      </c>
      <c r="Q19" s="37" t="n">
        <f aca="false">IFERROR(I19-F19,"n.d.")</f>
        <v>373.9</v>
      </c>
      <c r="R19" s="37" t="n">
        <f aca="false">IFERROR(I19-G19,"n.d.")</f>
        <v>411.6</v>
      </c>
      <c r="S19" s="38" t="n">
        <f aca="false">IFERROR(F19/PIB_2016,"n.d.")</f>
        <v>0.0615696070726571</v>
      </c>
      <c r="T19" s="38" t="n">
        <f aca="false">IFERROR(G19/PIB_2019,"n.d.")</f>
        <v>0.0471368013369908</v>
      </c>
      <c r="U19" s="38" t="n">
        <f aca="false">IFERROR(H19/PIB_2022,"n.d.")</f>
        <v>0.057689354300674</v>
      </c>
      <c r="V19" s="38" t="n">
        <f aca="false">IFERROR(I19/PIB_2025,"n.d.")</f>
        <v>0.0596534963197584</v>
      </c>
      <c r="W19" s="35" t="s">
        <v>576</v>
      </c>
      <c r="X19" s="35" t="s">
        <v>577</v>
      </c>
      <c r="Y19" s="35" t="s">
        <v>576</v>
      </c>
      <c r="Z19" s="35" t="s">
        <v>578</v>
      </c>
      <c r="AA19" s="35" t="s">
        <v>52</v>
      </c>
      <c r="AB19" s="35" t="s">
        <v>579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4" t="s">
        <v>457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580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581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582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583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19" t="s">
        <v>584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19" t="s">
        <v>585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19" t="s">
        <v>586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19" t="s">
        <v>587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</sheetData>
  <autoFilter ref="A3:AB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588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589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22.35" hidden="false" customHeight="false" outlineLevel="0" collapsed="false">
      <c r="A4" s="30" t="s">
        <v>159</v>
      </c>
      <c r="B4" s="30" t="s">
        <v>160</v>
      </c>
      <c r="C4" s="30" t="s">
        <v>161</v>
      </c>
      <c r="D4" s="30" t="s">
        <v>153</v>
      </c>
      <c r="E4" s="30" t="s">
        <v>106</v>
      </c>
      <c r="F4" s="55" t="n">
        <v>1250.426</v>
      </c>
      <c r="G4" s="55" t="n">
        <v>1442.34</v>
      </c>
      <c r="H4" s="55" t="n">
        <v>1809.693</v>
      </c>
      <c r="I4" s="55" t="n">
        <v>2394.25</v>
      </c>
      <c r="J4" s="32" t="n">
        <f aca="false">IFERROR(F4*FATOR_2016,"n.d.")</f>
        <v>1938.41034854367</v>
      </c>
      <c r="K4" s="32" t="n">
        <f aca="false">IFERROR(G4*FATOR_2019,"n.d.")</f>
        <v>2007.06006270382</v>
      </c>
      <c r="L4" s="32" t="n">
        <f aca="false">IFERROR(H4*FATOR_2022,"n.d.")</f>
        <v>2069.43093005658</v>
      </c>
      <c r="M4" s="33" t="n">
        <f aca="false">IFERROR(K4/J4-1,"n.d.")</f>
        <v>0.035415470316555</v>
      </c>
      <c r="N4" s="33" t="n">
        <f aca="false">IFERROR(L4/K4-1,"n.d.")</f>
        <v>0.031075735356288</v>
      </c>
      <c r="O4" s="33" t="n">
        <f aca="false">IFERROR(I4/L4-1,"n.d.")</f>
        <v>0.156960575598694</v>
      </c>
      <c r="P4" s="33" t="n">
        <f aca="false">IFERROR(I4/J4-1,"n.d.")</f>
        <v>0.235161585780227</v>
      </c>
      <c r="Q4" s="32" t="n">
        <f aca="false">IFERROR(I4-F4,"n.d.")</f>
        <v>1143.824</v>
      </c>
      <c r="R4" s="32" t="n">
        <f aca="false">IFERROR(I4-G4,"n.d.")</f>
        <v>951.91</v>
      </c>
      <c r="S4" s="33" t="n">
        <f aca="false">IFERROR(F4/PIB_2016,"n.d.")</f>
        <v>0.199451392470037</v>
      </c>
      <c r="T4" s="33" t="n">
        <f aca="false">IFERROR(G4/PIB_2019,"n.d.")</f>
        <v>0.195197513753647</v>
      </c>
      <c r="U4" s="33" t="n">
        <f aca="false">IFERROR(H4/PIB_2022,"n.d.")</f>
        <v>0.179538806604498</v>
      </c>
      <c r="V4" s="33" t="n">
        <f aca="false">IFERROR(I4/PIB_2025,"n.d.")</f>
        <v>0.187952866908253</v>
      </c>
      <c r="W4" s="30" t="s">
        <v>154</v>
      </c>
      <c r="X4" s="30" t="s">
        <v>154</v>
      </c>
      <c r="Y4" s="30" t="s">
        <v>154</v>
      </c>
      <c r="Z4" s="30" t="s">
        <v>155</v>
      </c>
      <c r="AA4" s="30" t="s">
        <v>50</v>
      </c>
      <c r="AB4" s="30" t="s">
        <v>436</v>
      </c>
    </row>
    <row r="5" customFormat="false" ht="15" hidden="false" customHeight="false" outlineLevel="0" collapsed="false">
      <c r="A5" s="30" t="s">
        <v>590</v>
      </c>
      <c r="B5" s="30" t="s">
        <v>591</v>
      </c>
      <c r="C5" s="30" t="s">
        <v>592</v>
      </c>
      <c r="D5" s="30" t="s">
        <v>153</v>
      </c>
      <c r="E5" s="30" t="s">
        <v>106</v>
      </c>
      <c r="F5" s="55" t="n">
        <v>507.871</v>
      </c>
      <c r="G5" s="55" t="n">
        <v>626.51</v>
      </c>
      <c r="H5" s="55" t="n">
        <v>796.977</v>
      </c>
      <c r="I5" s="55" t="n">
        <v>1026.87</v>
      </c>
      <c r="J5" s="32" t="n">
        <f aca="false">IFERROR(F5*FATOR_2016,"n.d.")</f>
        <v>787.301609311724</v>
      </c>
      <c r="K5" s="32" t="n">
        <f aca="false">IFERROR(G5*FATOR_2019,"n.d.")</f>
        <v>871.807756759551</v>
      </c>
      <c r="L5" s="32" t="n">
        <f aca="false">IFERROR(H5*FATOR_2022,"n.d.")</f>
        <v>911.36389119243</v>
      </c>
      <c r="M5" s="33" t="n">
        <f aca="false">IFERROR(K5/J5-1,"n.d.")</f>
        <v>0.107336434281779</v>
      </c>
      <c r="N5" s="33" t="n">
        <f aca="false">IFERROR(L5/K5-1,"n.d.")</f>
        <v>0.0453725424282836</v>
      </c>
      <c r="O5" s="33" t="n">
        <f aca="false">IFERROR(I5/L5-1,"n.d.")</f>
        <v>0.126739834575234</v>
      </c>
      <c r="P5" s="33" t="n">
        <f aca="false">IFERROR(I5/J5-1,"n.d.")</f>
        <v>0.304290487730251</v>
      </c>
      <c r="Q5" s="32" t="n">
        <f aca="false">IFERROR(I5-F5,"n.d.")</f>
        <v>518.999</v>
      </c>
      <c r="R5" s="32" t="n">
        <f aca="false">IFERROR(I5-G5,"n.d.")</f>
        <v>400.36</v>
      </c>
      <c r="S5" s="33" t="n">
        <f aca="false">IFERROR(F5/PIB_2016,"n.d.")</f>
        <v>0.0810088546984389</v>
      </c>
      <c r="T5" s="33" t="n">
        <f aca="false">IFERROR(G5/PIB_2019,"n.d.")</f>
        <v>0.0847880488246859</v>
      </c>
      <c r="U5" s="33" t="n">
        <f aca="false">IFERROR(H5/PIB_2022,"n.d.")</f>
        <v>0.0790677200338582</v>
      </c>
      <c r="V5" s="33" t="n">
        <f aca="false">IFERROR(I5/PIB_2025,"n.d.")</f>
        <v>0.0806111143122389</v>
      </c>
      <c r="W5" s="30" t="s">
        <v>154</v>
      </c>
      <c r="X5" s="30" t="s">
        <v>155</v>
      </c>
      <c r="Y5" s="30" t="s">
        <v>154</v>
      </c>
      <c r="Z5" s="30" t="s">
        <v>155</v>
      </c>
      <c r="AA5" s="30" t="s">
        <v>50</v>
      </c>
      <c r="AB5" s="30" t="s">
        <v>436</v>
      </c>
    </row>
    <row r="6" customFormat="false" ht="15" hidden="false" customHeight="false" outlineLevel="0" collapsed="false">
      <c r="A6" s="30" t="s">
        <v>593</v>
      </c>
      <c r="B6" s="30" t="s">
        <v>594</v>
      </c>
      <c r="C6" s="30" t="s">
        <v>592</v>
      </c>
      <c r="D6" s="30" t="s">
        <v>153</v>
      </c>
      <c r="E6" s="30" t="s">
        <v>106</v>
      </c>
      <c r="F6" s="55" t="n">
        <v>257.872</v>
      </c>
      <c r="G6" s="55" t="n">
        <v>313.09</v>
      </c>
      <c r="H6" s="55" t="n">
        <v>337.942</v>
      </c>
      <c r="I6" s="55" t="n">
        <v>402.55</v>
      </c>
      <c r="J6" s="32" t="n">
        <f aca="false">IFERROR(F6*FATOR_2016,"n.d.")</f>
        <v>399.753166840463</v>
      </c>
      <c r="K6" s="32" t="n">
        <f aca="false">IFERROR(G6*FATOR_2019,"n.d.")</f>
        <v>435.674275851699</v>
      </c>
      <c r="L6" s="32" t="n">
        <f aca="false">IFERROR(H6*FATOR_2022,"n.d.")</f>
        <v>386.445450894257</v>
      </c>
      <c r="M6" s="33" t="n">
        <f aca="false">IFERROR(K6/J6-1,"n.d.")</f>
        <v>0.089858222500514</v>
      </c>
      <c r="N6" s="33" t="n">
        <f aca="false">IFERROR(L6/K6-1,"n.d.")</f>
        <v>-0.11299456425607</v>
      </c>
      <c r="O6" s="33" t="n">
        <f aca="false">IFERROR(I6/L6-1,"n.d.")</f>
        <v>0.041673537800681</v>
      </c>
      <c r="P6" s="33" t="n">
        <f aca="false">IFERROR(I6/J6-1,"n.d.")</f>
        <v>0.00699640025779447</v>
      </c>
      <c r="Q6" s="32" t="n">
        <f aca="false">IFERROR(I6-F6,"n.d.")</f>
        <v>144.678</v>
      </c>
      <c r="R6" s="32" t="n">
        <f aca="false">IFERROR(I6-G6,"n.d.")</f>
        <v>89.46</v>
      </c>
      <c r="S6" s="33" t="n">
        <f aca="false">IFERROR(F6/PIB_2016,"n.d.")</f>
        <v>0.0411323256866327</v>
      </c>
      <c r="T6" s="33" t="n">
        <f aca="false">IFERROR(G6/PIB_2019,"n.d.")</f>
        <v>0.0423716943169637</v>
      </c>
      <c r="U6" s="33" t="n">
        <f aca="false">IFERROR(H6/PIB_2022,"n.d.")</f>
        <v>0.0335270697193045</v>
      </c>
      <c r="V6" s="33" t="n">
        <f aca="false">IFERROR(I6/PIB_2025,"n.d.")</f>
        <v>0.0316008882004458</v>
      </c>
      <c r="W6" s="30" t="s">
        <v>154</v>
      </c>
      <c r="X6" s="30" t="s">
        <v>155</v>
      </c>
      <c r="Y6" s="30" t="s">
        <v>154</v>
      </c>
      <c r="Z6" s="30" t="s">
        <v>155</v>
      </c>
      <c r="AA6" s="30" t="s">
        <v>50</v>
      </c>
      <c r="AB6" s="30" t="s">
        <v>436</v>
      </c>
    </row>
    <row r="7" customFormat="false" ht="15" hidden="false" customHeight="false" outlineLevel="0" collapsed="false">
      <c r="A7" s="30" t="s">
        <v>595</v>
      </c>
      <c r="B7" s="30" t="s">
        <v>596</v>
      </c>
      <c r="C7" s="30" t="s">
        <v>592</v>
      </c>
      <c r="D7" s="30" t="s">
        <v>153</v>
      </c>
      <c r="E7" s="30" t="s">
        <v>106</v>
      </c>
      <c r="F7" s="55" t="n">
        <v>48.99</v>
      </c>
      <c r="G7" s="55" t="n">
        <v>59.73</v>
      </c>
      <c r="H7" s="55" t="n">
        <v>78.827</v>
      </c>
      <c r="I7" s="55" t="n">
        <v>127.24</v>
      </c>
      <c r="J7" s="32" t="n">
        <f aca="false">IFERROR(F7*FATOR_2016,"n.d.")</f>
        <v>75.9442965638545</v>
      </c>
      <c r="K7" s="32" t="n">
        <f aca="false">IFERROR(G7*FATOR_2019,"n.d.")</f>
        <v>83.1161151637611</v>
      </c>
      <c r="L7" s="32" t="n">
        <f aca="false">IFERROR(H7*FATOR_2022,"n.d.")</f>
        <v>90.1407210635008</v>
      </c>
      <c r="M7" s="33" t="n">
        <f aca="false">IFERROR(K7/J7-1,"n.d.")</f>
        <v>0.0944352495763319</v>
      </c>
      <c r="N7" s="33" t="n">
        <f aca="false">IFERROR(L7/K7-1,"n.d.")</f>
        <v>0.0845155706074492</v>
      </c>
      <c r="O7" s="33" t="n">
        <f aca="false">IFERROR(I7/L7-1,"n.d.")</f>
        <v>0.411570691900324</v>
      </c>
      <c r="P7" s="33" t="n">
        <f aca="false">IFERROR(I7/J7-1,"n.d.")</f>
        <v>0.675438522141234</v>
      </c>
      <c r="Q7" s="32" t="n">
        <f aca="false">IFERROR(I7-F7,"n.d.")</f>
        <v>78.25</v>
      </c>
      <c r="R7" s="32" t="n">
        <f aca="false">IFERROR(I7-G7,"n.d.")</f>
        <v>67.51</v>
      </c>
      <c r="S7" s="33" t="n">
        <f aca="false">IFERROR(F7/PIB_2016,"n.d.")</f>
        <v>0.00781423588209707</v>
      </c>
      <c r="T7" s="33" t="n">
        <f aca="false">IFERROR(G7/PIB_2019,"n.d.")</f>
        <v>0.00808349452729962</v>
      </c>
      <c r="U7" s="33" t="n">
        <f aca="false">IFERROR(H7/PIB_2022,"n.d.")</f>
        <v>0.00782039025857577</v>
      </c>
      <c r="V7" s="33" t="n">
        <f aca="false">IFERROR(I7/PIB_2025,"n.d.")</f>
        <v>0.00998856543193323</v>
      </c>
      <c r="W7" s="30" t="s">
        <v>154</v>
      </c>
      <c r="X7" s="30" t="s">
        <v>155</v>
      </c>
      <c r="Y7" s="30" t="s">
        <v>154</v>
      </c>
      <c r="Z7" s="30" t="s">
        <v>155</v>
      </c>
      <c r="AA7" s="30" t="s">
        <v>50</v>
      </c>
      <c r="AB7" s="30" t="s">
        <v>436</v>
      </c>
    </row>
    <row r="8" customFormat="false" ht="15" hidden="false" customHeight="false" outlineLevel="0" collapsed="false">
      <c r="A8" s="30" t="s">
        <v>597</v>
      </c>
      <c r="B8" s="30" t="s">
        <v>598</v>
      </c>
      <c r="C8" s="30" t="s">
        <v>592</v>
      </c>
      <c r="D8" s="30" t="s">
        <v>153</v>
      </c>
      <c r="E8" s="30" t="s">
        <v>106</v>
      </c>
      <c r="F8" s="55" t="n">
        <v>56.014</v>
      </c>
      <c r="G8" s="55" t="n">
        <v>55.59</v>
      </c>
      <c r="H8" s="55" t="n">
        <v>64.271</v>
      </c>
      <c r="I8" s="55" t="n">
        <v>87.84</v>
      </c>
      <c r="J8" s="32" t="n">
        <f aca="false">IFERROR(F8*FATOR_2016,"n.d.")</f>
        <v>86.8329011579454</v>
      </c>
      <c r="K8" s="32" t="n">
        <f aca="false">IFERROR(G8*FATOR_2019,"n.d.")</f>
        <v>77.355179004746</v>
      </c>
      <c r="L8" s="32" t="n">
        <f aca="false">IFERROR(H8*FATOR_2022,"n.d.")</f>
        <v>73.4955571501169</v>
      </c>
      <c r="M8" s="33" t="n">
        <f aca="false">IFERROR(K8/J8-1,"n.d.")</f>
        <v>-0.109148974948561</v>
      </c>
      <c r="N8" s="33" t="n">
        <f aca="false">IFERROR(L8/K8-1,"n.d.")</f>
        <v>-0.0498948086513039</v>
      </c>
      <c r="O8" s="33" t="n">
        <f aca="false">IFERROR(I8/L8-1,"n.d.")</f>
        <v>0.195174285441285</v>
      </c>
      <c r="P8" s="33" t="n">
        <f aca="false">IFERROR(I8/J8-1,"n.d.")</f>
        <v>0.0115981250035939</v>
      </c>
      <c r="Q8" s="32" t="n">
        <f aca="false">IFERROR(I8-F8,"n.d.")</f>
        <v>31.826</v>
      </c>
      <c r="R8" s="32" t="n">
        <f aca="false">IFERROR(I8-G8,"n.d.")</f>
        <v>32.25</v>
      </c>
      <c r="S8" s="33" t="n">
        <f aca="false">IFERROR(F8/PIB_2016,"n.d.")</f>
        <v>0.00893461132271454</v>
      </c>
      <c r="T8" s="33" t="n">
        <f aca="false">IFERROR(G8/PIB_2019,"n.d.")</f>
        <v>0.00752321213414676</v>
      </c>
      <c r="U8" s="33" t="n">
        <f aca="false">IFERROR(H8/PIB_2022,"n.d.")</f>
        <v>0.00637629622221984</v>
      </c>
      <c r="V8" s="33" t="n">
        <f aca="false">IFERROR(I8/PIB_2025,"n.d.")</f>
        <v>0.0068955956266977</v>
      </c>
      <c r="W8" s="30" t="s">
        <v>154</v>
      </c>
      <c r="X8" s="30" t="s">
        <v>155</v>
      </c>
      <c r="Y8" s="30" t="s">
        <v>154</v>
      </c>
      <c r="Z8" s="30" t="s">
        <v>155</v>
      </c>
      <c r="AA8" s="30" t="s">
        <v>50</v>
      </c>
      <c r="AB8" s="30" t="s">
        <v>436</v>
      </c>
    </row>
    <row r="9" customFormat="false" ht="15" hidden="false" customHeight="false" outlineLevel="0" collapsed="false">
      <c r="A9" s="30" t="s">
        <v>599</v>
      </c>
      <c r="B9" s="30" t="s">
        <v>600</v>
      </c>
      <c r="C9" s="30" t="s">
        <v>592</v>
      </c>
      <c r="D9" s="30" t="s">
        <v>153</v>
      </c>
      <c r="E9" s="30" t="s">
        <v>106</v>
      </c>
      <c r="F9" s="55" t="n">
        <v>13.675</v>
      </c>
      <c r="G9" s="55" t="n">
        <v>15.6</v>
      </c>
      <c r="H9" s="55" t="n">
        <v>32.882</v>
      </c>
      <c r="I9" s="55" t="n">
        <v>59.73</v>
      </c>
      <c r="J9" s="32" t="n">
        <f aca="false">IFERROR(F9*FATOR_2016,"n.d.")</f>
        <v>21.1989845991164</v>
      </c>
      <c r="K9" s="32" t="n">
        <f aca="false">IFERROR(G9*FATOR_2019,"n.d.")</f>
        <v>21.707875381796</v>
      </c>
      <c r="L9" s="32" t="n">
        <f aca="false">IFERROR(H9*FATOR_2022,"n.d.")</f>
        <v>37.6014207062305</v>
      </c>
      <c r="M9" s="33" t="n">
        <f aca="false">IFERROR(K9/J9-1,"n.d.")</f>
        <v>0.0240054319724738</v>
      </c>
      <c r="N9" s="33" t="n">
        <f aca="false">IFERROR(L9/K9-1,"n.d.")</f>
        <v>0.73215572896474</v>
      </c>
      <c r="O9" s="33" t="n">
        <f aca="false">IFERROR(I9/L9-1,"n.d.")</f>
        <v>0.588503808583562</v>
      </c>
      <c r="P9" s="33" t="n">
        <f aca="false">IFERROR(I9/J9-1,"n.d.")</f>
        <v>1.81758778212848</v>
      </c>
      <c r="Q9" s="32" t="n">
        <f aca="false">IFERROR(I9-F9,"n.d.")</f>
        <v>46.055</v>
      </c>
      <c r="R9" s="32" t="n">
        <f aca="false">IFERROR(I9-G9,"n.d.")</f>
        <v>44.13</v>
      </c>
      <c r="S9" s="33" t="n">
        <f aca="false">IFERROR(F9/PIB_2016,"n.d.")</f>
        <v>0.00218125486196525</v>
      </c>
      <c r="T9" s="33" t="n">
        <f aca="false">IFERROR(G9/PIB_2019,"n.d.")</f>
        <v>0.00211120901767745</v>
      </c>
      <c r="U9" s="33" t="n">
        <f aca="false">IFERROR(H9/PIB_2022,"n.d.")</f>
        <v>0.00326220803128989</v>
      </c>
      <c r="V9" s="33" t="n">
        <f aca="false">IFERROR(I9/PIB_2025,"n.d.")</f>
        <v>0.00468891082402839</v>
      </c>
      <c r="W9" s="30" t="s">
        <v>154</v>
      </c>
      <c r="X9" s="30" t="s">
        <v>155</v>
      </c>
      <c r="Y9" s="30" t="s">
        <v>154</v>
      </c>
      <c r="Z9" s="30" t="s">
        <v>155</v>
      </c>
      <c r="AA9" s="30" t="s">
        <v>50</v>
      </c>
      <c r="AB9" s="30" t="s">
        <v>601</v>
      </c>
    </row>
    <row r="10" customFormat="false" ht="22.35" hidden="false" customHeight="false" outlineLevel="0" collapsed="false">
      <c r="A10" s="30" t="s">
        <v>602</v>
      </c>
      <c r="B10" s="30" t="s">
        <v>603</v>
      </c>
      <c r="C10" s="30" t="s">
        <v>592</v>
      </c>
      <c r="D10" s="30" t="s">
        <v>153</v>
      </c>
      <c r="E10" s="30" t="s">
        <v>106</v>
      </c>
      <c r="F10" s="55" t="n">
        <v>10.163</v>
      </c>
      <c r="G10" s="55" t="n">
        <v>15.48</v>
      </c>
      <c r="H10" s="55" t="n">
        <v>17.349</v>
      </c>
      <c r="I10" s="55" t="n">
        <v>42.77</v>
      </c>
      <c r="J10" s="32" t="n">
        <f aca="false">IFERROR(F10*FATOR_2016,"n.d.")</f>
        <v>15.7546823020709</v>
      </c>
      <c r="K10" s="32" t="n">
        <f aca="false">IFERROR(G10*FATOR_2019,"n.d.")</f>
        <v>21.5408917250129</v>
      </c>
      <c r="L10" s="32" t="n">
        <f aca="false">IFERROR(H10*FATOR_2022,"n.d.")</f>
        <v>19.839031927267</v>
      </c>
      <c r="M10" s="33" t="n">
        <f aca="false">IFERROR(K10/J10-1,"n.d.")</f>
        <v>0.367269190961816</v>
      </c>
      <c r="N10" s="33" t="n">
        <f aca="false">IFERROR(L10/K10-1,"n.d.")</f>
        <v>-0.0790060049264234</v>
      </c>
      <c r="O10" s="33" t="n">
        <f aca="false">IFERROR(I10/L10-1,"n.d.")</f>
        <v>1.15585116031879</v>
      </c>
      <c r="P10" s="33" t="n">
        <f aca="false">IFERROR(I10/J10-1,"n.d.")</f>
        <v>1.71474849063621</v>
      </c>
      <c r="Q10" s="32" t="n">
        <f aca="false">IFERROR(I10-F10,"n.d.")</f>
        <v>32.607</v>
      </c>
      <c r="R10" s="32" t="n">
        <f aca="false">IFERROR(I10-G10,"n.d.")</f>
        <v>27.29</v>
      </c>
      <c r="S10" s="33" t="n">
        <f aca="false">IFERROR(F10/PIB_2016,"n.d.")</f>
        <v>0.00162106714165651</v>
      </c>
      <c r="T10" s="33" t="n">
        <f aca="false">IFERROR(G10/PIB_2019,"n.d.")</f>
        <v>0.0020949689483107</v>
      </c>
      <c r="U10" s="33" t="n">
        <f aca="false">IFERROR(H10/PIB_2022,"n.d.")</f>
        <v>0.00172118627622555</v>
      </c>
      <c r="V10" s="33" t="n">
        <f aca="false">IFERROR(I10/PIB_2025,"n.d.")</f>
        <v>0.00335752077588639</v>
      </c>
      <c r="W10" s="30" t="s">
        <v>154</v>
      </c>
      <c r="X10" s="30" t="s">
        <v>155</v>
      </c>
      <c r="Y10" s="30" t="s">
        <v>154</v>
      </c>
      <c r="Z10" s="30" t="s">
        <v>155</v>
      </c>
      <c r="AA10" s="30" t="s">
        <v>50</v>
      </c>
      <c r="AB10" s="30" t="s">
        <v>436</v>
      </c>
    </row>
    <row r="11" customFormat="false" ht="15" hidden="false" customHeight="false" outlineLevel="0" collapsed="false">
      <c r="A11" s="30" t="s">
        <v>604</v>
      </c>
      <c r="B11" s="30" t="s">
        <v>605</v>
      </c>
      <c r="C11" s="30" t="s">
        <v>592</v>
      </c>
      <c r="D11" s="30" t="s">
        <v>153</v>
      </c>
      <c r="E11" s="30" t="s">
        <v>106</v>
      </c>
      <c r="F11" s="55" t="n">
        <v>141.909</v>
      </c>
      <c r="G11" s="55" t="n">
        <v>164.42</v>
      </c>
      <c r="H11" s="55" t="n">
        <v>152.143</v>
      </c>
      <c r="I11" s="55" t="n">
        <v>204.92</v>
      </c>
      <c r="J11" s="32" t="n">
        <f aca="false">IFERROR(F11*FATOR_2016,"n.d.")</f>
        <v>219.987327639927</v>
      </c>
      <c r="K11" s="32" t="n">
        <f aca="false">IFERROR(G11*FATOR_2019,"n.d.")</f>
        <v>228.795440402237</v>
      </c>
      <c r="L11" s="32" t="n">
        <f aca="false">IFERROR(H11*FATOR_2022,"n.d.")</f>
        <v>173.97947054644</v>
      </c>
      <c r="M11" s="33" t="n">
        <f aca="false">IFERROR(K11/J11-1,"n.d.")</f>
        <v>0.040039182514761</v>
      </c>
      <c r="N11" s="33" t="n">
        <f aca="false">IFERROR(L11/K11-1,"n.d.")</f>
        <v>-0.23958506235713</v>
      </c>
      <c r="O11" s="33" t="n">
        <f aca="false">IFERROR(I11/L11-1,"n.d.")</f>
        <v>0.177840117321781</v>
      </c>
      <c r="P11" s="33" t="n">
        <f aca="false">IFERROR(I11/J11-1,"n.d.")</f>
        <v>-0.0684917981484333</v>
      </c>
      <c r="Q11" s="32" t="n">
        <f aca="false">IFERROR(I11-F11,"n.d.")</f>
        <v>63.011</v>
      </c>
      <c r="R11" s="32" t="n">
        <f aca="false">IFERROR(I11-G11,"n.d.")</f>
        <v>40.5</v>
      </c>
      <c r="S11" s="33" t="n">
        <f aca="false">IFERROR(F11/PIB_2016,"n.d.")</f>
        <v>0.0226354439639215</v>
      </c>
      <c r="T11" s="33" t="n">
        <f aca="false">IFERROR(G11/PIB_2019,"n.d.")</f>
        <v>0.0222516017106748</v>
      </c>
      <c r="U11" s="33" t="n">
        <f aca="false">IFERROR(H11/PIB_2022,"n.d.")</f>
        <v>0.0150940367527686</v>
      </c>
      <c r="V11" s="33" t="n">
        <f aca="false">IFERROR(I11/PIB_2025,"n.d.")</f>
        <v>0.016086583058093</v>
      </c>
      <c r="W11" s="30" t="s">
        <v>154</v>
      </c>
      <c r="X11" s="30" t="s">
        <v>155</v>
      </c>
      <c r="Y11" s="30" t="s">
        <v>154</v>
      </c>
      <c r="Z11" s="30" t="s">
        <v>155</v>
      </c>
      <c r="AA11" s="30" t="s">
        <v>50</v>
      </c>
      <c r="AB11" s="30" t="s">
        <v>436</v>
      </c>
    </row>
    <row r="12" customFormat="false" ht="32.8" hidden="false" customHeight="false" outlineLevel="0" collapsed="false">
      <c r="A12" s="30" t="s">
        <v>606</v>
      </c>
      <c r="B12" s="30" t="s">
        <v>607</v>
      </c>
      <c r="C12" s="30" t="s">
        <v>608</v>
      </c>
      <c r="D12" s="30" t="s">
        <v>153</v>
      </c>
      <c r="E12" s="30" t="s">
        <v>106</v>
      </c>
      <c r="F12" s="55" t="n">
        <v>-161.276</v>
      </c>
      <c r="G12" s="55" t="n">
        <v>-95.065</v>
      </c>
      <c r="H12" s="55" t="n">
        <v>46.408</v>
      </c>
      <c r="I12" s="55" t="n">
        <v>-61.69</v>
      </c>
      <c r="J12" s="32" t="n">
        <f aca="false">IFERROR(F12*FATOR_2016,"n.d.")</f>
        <v>-250.010050472182</v>
      </c>
      <c r="K12" s="32" t="n">
        <f aca="false">IFERROR(G12*FATOR_2019,"n.d.")</f>
        <v>-132.285844434002</v>
      </c>
      <c r="L12" s="32" t="n">
        <f aca="false">IFERROR(H12*FATOR_2022,"n.d.")</f>
        <v>53.0687528780107</v>
      </c>
      <c r="M12" s="33" t="n">
        <f aca="false">IFERROR(K12/J12-1,"n.d.")</f>
        <v>-0.470877893972022</v>
      </c>
      <c r="N12" s="33" t="n">
        <f aca="false">IFERROR(L12/K12-1,"n.d.")</f>
        <v>-1.40116728365813</v>
      </c>
      <c r="O12" s="33" t="n">
        <f aca="false">IFERROR(I12/L12-1,"n.d.")</f>
        <v>-2.16245430040173</v>
      </c>
      <c r="P12" s="33" t="n">
        <f aca="false">IFERROR(I12/J12-1,"n.d.")</f>
        <v>-0.753249919819267</v>
      </c>
      <c r="Q12" s="32" t="n">
        <f aca="false">IFERROR(I12-F12,"n.d.")</f>
        <v>99.586</v>
      </c>
      <c r="R12" s="32" t="n">
        <f aca="false">IFERROR(I12-G12,"n.d.")</f>
        <v>33.375</v>
      </c>
      <c r="S12" s="33" t="n">
        <f aca="false">IFERROR(F12/PIB_2016,"n.d.")</f>
        <v>-0.0257246112700773</v>
      </c>
      <c r="T12" s="33" t="n">
        <f aca="false">IFERROR(G12/PIB_2019,"n.d.")</f>
        <v>-0.0128655182862504</v>
      </c>
      <c r="U12" s="33" t="n">
        <f aca="false">IFERROR(H12/PIB_2022,"n.d.")</f>
        <v>0.00460411624341894</v>
      </c>
      <c r="V12" s="33" t="n">
        <f aca="false">IFERROR(I12/PIB_2025,"n.d.")</f>
        <v>-0.0048427742965731</v>
      </c>
      <c r="W12" s="30" t="s">
        <v>154</v>
      </c>
      <c r="X12" s="30" t="s">
        <v>609</v>
      </c>
      <c r="Y12" s="30" t="s">
        <v>154</v>
      </c>
      <c r="Z12" s="30" t="s">
        <v>609</v>
      </c>
      <c r="AA12" s="30" t="s">
        <v>50</v>
      </c>
      <c r="AB12" s="30" t="s">
        <v>610</v>
      </c>
    </row>
    <row r="13" customFormat="false" ht="22.35" hidden="false" customHeight="false" outlineLevel="0" collapsed="false">
      <c r="A13" s="30" t="s">
        <v>611</v>
      </c>
      <c r="B13" s="30" t="s">
        <v>612</v>
      </c>
      <c r="C13" s="30" t="s">
        <v>613</v>
      </c>
      <c r="D13" s="30" t="s">
        <v>153</v>
      </c>
      <c r="E13" s="30" t="s">
        <v>106</v>
      </c>
      <c r="F13" s="55" t="n">
        <v>318.362</v>
      </c>
      <c r="G13" s="55" t="n">
        <v>310.12</v>
      </c>
      <c r="H13" s="55" t="n">
        <v>503.234</v>
      </c>
      <c r="I13" s="55" t="n">
        <v>891.88</v>
      </c>
      <c r="J13" s="32" t="n">
        <f aca="false">IFERROR(F13*FATOR_2016,"n.d.")</f>
        <v>493.524763067194</v>
      </c>
      <c r="K13" s="32" t="n">
        <f aca="false">IFERROR(G13*FATOR_2019,"n.d.")</f>
        <v>431.541430346318</v>
      </c>
      <c r="L13" s="32" t="n">
        <f aca="false">IFERROR(H13*FATOR_2022,"n.d.")</f>
        <v>575.461144324531</v>
      </c>
      <c r="M13" s="33" t="n">
        <f aca="false">IFERROR(K13/J13-1,"n.d.")</f>
        <v>-0.12559315633051</v>
      </c>
      <c r="N13" s="33" t="n">
        <f aca="false">IFERROR(L13/K13-1,"n.d.")</f>
        <v>0.333501499178687</v>
      </c>
      <c r="O13" s="33" t="n">
        <f aca="false">IFERROR(I13/L13-1,"n.d.")</f>
        <v>0.549852685617685</v>
      </c>
      <c r="P13" s="33" t="n">
        <f aca="false">IFERROR(I13/J13-1,"n.d.")</f>
        <v>0.807163625300335</v>
      </c>
      <c r="Q13" s="32" t="n">
        <f aca="false">IFERROR(I13-F13,"n.d.")</f>
        <v>573.518</v>
      </c>
      <c r="R13" s="32" t="n">
        <f aca="false">IFERROR(I13-G13,"n.d.")</f>
        <v>581.76</v>
      </c>
      <c r="S13" s="33" t="n">
        <f aca="false">IFERROR(F13/PIB_2016,"n.d.")</f>
        <v>0.0507808892405836</v>
      </c>
      <c r="T13" s="33" t="n">
        <f aca="false">IFERROR(G13/PIB_2019,"n.d.")</f>
        <v>0.0419697526001366</v>
      </c>
      <c r="U13" s="33" t="n">
        <f aca="false">IFERROR(H13/PIB_2022,"n.d.")</f>
        <v>0.0499256126883444</v>
      </c>
      <c r="V13" s="33" t="n">
        <f aca="false">IFERROR(I13/PIB_2025,"n.d.")</f>
        <v>0.0700141601495804</v>
      </c>
      <c r="W13" s="30" t="s">
        <v>154</v>
      </c>
      <c r="X13" s="30" t="s">
        <v>614</v>
      </c>
      <c r="Y13" s="30" t="s">
        <v>154</v>
      </c>
      <c r="Z13" s="30" t="s">
        <v>155</v>
      </c>
      <c r="AA13" s="30" t="s">
        <v>50</v>
      </c>
      <c r="AB13" s="30" t="s">
        <v>436</v>
      </c>
    </row>
    <row r="14" customFormat="false" ht="32.8" hidden="false" customHeight="false" outlineLevel="0" collapsed="false">
      <c r="A14" s="42" t="s">
        <v>162</v>
      </c>
      <c r="B14" s="42" t="s">
        <v>615</v>
      </c>
      <c r="C14" s="42" t="s">
        <v>164</v>
      </c>
      <c r="D14" s="42" t="s">
        <v>153</v>
      </c>
      <c r="E14" s="42" t="s">
        <v>106</v>
      </c>
      <c r="F14" s="44" t="n">
        <f aca="false">F4+F13</f>
        <v>1568.788</v>
      </c>
      <c r="G14" s="44" t="n">
        <f aca="false">G4+G13</f>
        <v>1752.46</v>
      </c>
      <c r="H14" s="44" t="n">
        <f aca="false">H4+H13</f>
        <v>2312.927</v>
      </c>
      <c r="I14" s="44" t="n">
        <f aca="false">I4+I13</f>
        <v>3286.13</v>
      </c>
      <c r="J14" s="44" t="n">
        <f aca="false">IFERROR(F14*FATOR_2016,"n.d.")</f>
        <v>2431.93511161086</v>
      </c>
      <c r="K14" s="44" t="n">
        <f aca="false">IFERROR(G14*FATOR_2019,"n.d.")</f>
        <v>2438.60149305014</v>
      </c>
      <c r="L14" s="44" t="n">
        <f aca="false">IFERROR(H14*FATOR_2022,"n.d.")</f>
        <v>2644.89207438111</v>
      </c>
      <c r="M14" s="45" t="n">
        <f aca="false">IFERROR(K14/J14-1,"n.d.")</f>
        <v>0.00274118392692624</v>
      </c>
      <c r="N14" s="45" t="n">
        <f aca="false">IFERROR(L14/K14-1,"n.d.")</f>
        <v>0.0845938058837765</v>
      </c>
      <c r="O14" s="45" t="n">
        <f aca="false">IFERROR(I14/L14-1,"n.d.")</f>
        <v>0.242443890936055</v>
      </c>
      <c r="P14" s="45" t="n">
        <f aca="false">IFERROR(I14/J14-1,"n.d.")</f>
        <v>0.351240822302753</v>
      </c>
      <c r="Q14" s="44" t="n">
        <f aca="false">IFERROR(I14-F14,"n.d.")</f>
        <v>1717.342</v>
      </c>
      <c r="R14" s="44" t="n">
        <f aca="false">IFERROR(I14-G14,"n.d.")</f>
        <v>1533.67</v>
      </c>
      <c r="S14" s="45" t="n">
        <f aca="false">IFERROR(F14/PIB_2016,"n.d.")</f>
        <v>0.250232281710621</v>
      </c>
      <c r="T14" s="45" t="n">
        <f aca="false">IFERROR(G14/PIB_2019,"n.d.")</f>
        <v>0.237167266353784</v>
      </c>
      <c r="U14" s="45" t="n">
        <f aca="false">IFERROR(H14/PIB_2022,"n.d.")</f>
        <v>0.229464419292842</v>
      </c>
      <c r="V14" s="45" t="n">
        <f aca="false">IFERROR(I14/PIB_2025,"n.d.")</f>
        <v>0.257967027057834</v>
      </c>
      <c r="W14" s="42" t="s">
        <v>165</v>
      </c>
      <c r="X14" s="42" t="s">
        <v>165</v>
      </c>
      <c r="Y14" s="42" t="s">
        <v>165</v>
      </c>
      <c r="Z14" s="42" t="s">
        <v>165</v>
      </c>
      <c r="AA14" s="42" t="s">
        <v>54</v>
      </c>
      <c r="AB14" s="42" t="s">
        <v>616</v>
      </c>
    </row>
    <row r="15" customFormat="false" ht="15" hidden="false" customHeight="false" outlineLevel="0" collapsed="false">
      <c r="A15" s="30" t="s">
        <v>617</v>
      </c>
      <c r="B15" s="30" t="s">
        <v>618</v>
      </c>
      <c r="C15" s="30" t="s">
        <v>619</v>
      </c>
      <c r="D15" s="30" t="s">
        <v>153</v>
      </c>
      <c r="E15" s="30" t="s">
        <v>106</v>
      </c>
      <c r="F15" s="55" t="n">
        <v>-477.835</v>
      </c>
      <c r="G15" s="55" t="n">
        <v>-399.01</v>
      </c>
      <c r="H15" s="55" t="n">
        <v>-448.288</v>
      </c>
      <c r="I15" s="55" t="n">
        <v>-950.57</v>
      </c>
      <c r="J15" s="32" t="n">
        <f aca="false">IFERROR(F15*FATOR_2016,"n.d.")</f>
        <v>-740.739802992232</v>
      </c>
      <c r="K15" s="32" t="n">
        <f aca="false">IFERROR(G15*FATOR_2019,"n.d.")</f>
        <v>-555.23457410836</v>
      </c>
      <c r="L15" s="32" t="n">
        <f aca="false">IFERROR(H15*FATOR_2022,"n.d.")</f>
        <v>-512.628966776798</v>
      </c>
      <c r="M15" s="33" t="n">
        <f aca="false">IFERROR(K15/J15-1,"n.d.")</f>
        <v>-0.25043237603072</v>
      </c>
      <c r="N15" s="33" t="n">
        <f aca="false">IFERROR(L15/K15-1,"n.d.")</f>
        <v>-0.076734427786636</v>
      </c>
      <c r="O15" s="33" t="n">
        <f aca="false">IFERROR(I15/L15-1,"n.d.")</f>
        <v>0.854304110001424</v>
      </c>
      <c r="P15" s="33" t="n">
        <f aca="false">IFERROR(I15/J15-1,"n.d.")</f>
        <v>0.283271124570539</v>
      </c>
      <c r="Q15" s="32" t="n">
        <f aca="false">IFERROR(I15-F15,"n.d.")</f>
        <v>-472.735</v>
      </c>
      <c r="R15" s="32" t="n">
        <f aca="false">IFERROR(I15-G15,"n.d.")</f>
        <v>-551.56</v>
      </c>
      <c r="S15" s="33" t="n">
        <f aca="false">IFERROR(F15/PIB_2016,"n.d.")</f>
        <v>-0.076217909833065</v>
      </c>
      <c r="T15" s="33" t="n">
        <f aca="false">IFERROR(G15/PIB_2019,"n.d.")</f>
        <v>-0.0539995839835564</v>
      </c>
      <c r="U15" s="33" t="n">
        <f aca="false">IFERROR(H15/PIB_2022,"n.d.")</f>
        <v>-0.0444744454087612</v>
      </c>
      <c r="V15" s="33" t="n">
        <f aca="false">IFERROR(I15/PIB_2025,"n.d.")</f>
        <v>-0.0746214291310341</v>
      </c>
      <c r="W15" s="30" t="s">
        <v>154</v>
      </c>
      <c r="X15" s="30" t="s">
        <v>155</v>
      </c>
      <c r="Y15" s="30" t="s">
        <v>154</v>
      </c>
      <c r="Z15" s="30" t="s">
        <v>155</v>
      </c>
      <c r="AA15" s="30" t="s">
        <v>50</v>
      </c>
      <c r="AB15" s="30" t="s">
        <v>436</v>
      </c>
    </row>
    <row r="16" customFormat="false" ht="32.8" hidden="false" customHeight="false" outlineLevel="0" collapsed="false">
      <c r="A16" s="30" t="s">
        <v>144</v>
      </c>
      <c r="B16" s="30" t="s">
        <v>620</v>
      </c>
      <c r="C16" s="30" t="s">
        <v>146</v>
      </c>
      <c r="D16" s="30" t="s">
        <v>140</v>
      </c>
      <c r="E16" s="30" t="s">
        <v>106</v>
      </c>
      <c r="F16" s="55" t="n">
        <v>1875.18</v>
      </c>
      <c r="G16" s="55" t="n">
        <v>2198.25</v>
      </c>
      <c r="H16" s="55" t="n">
        <v>2603.83</v>
      </c>
      <c r="I16" s="55" t="n">
        <v>3606.51</v>
      </c>
      <c r="J16" s="32" t="n">
        <f aca="false">IFERROR(F16*FATOR_2016,"n.d.")</f>
        <v>2906.90398102896</v>
      </c>
      <c r="K16" s="32" t="n">
        <f aca="false">IFERROR(G16*FATOR_2019,"n.d.")</f>
        <v>3058.93186269442</v>
      </c>
      <c r="L16" s="32" t="n">
        <f aca="false">IFERROR(H16*FATOR_2022,"n.d.")</f>
        <v>2977.54720751488</v>
      </c>
      <c r="M16" s="33" t="n">
        <f aca="false">IFERROR(K16/J16-1,"n.d.")</f>
        <v>0.0522989003619065</v>
      </c>
      <c r="N16" s="33" t="n">
        <f aca="false">IFERROR(L16/K16-1,"n.d.")</f>
        <v>-0.0266055796051164</v>
      </c>
      <c r="O16" s="33" t="n">
        <f aca="false">IFERROR(I16/L16-1,"n.d.")</f>
        <v>0.21123520423042</v>
      </c>
      <c r="P16" s="33" t="n">
        <f aca="false">IFERROR(I16/J16-1,"n.d.")</f>
        <v>0.240670494635121</v>
      </c>
      <c r="Q16" s="32" t="n">
        <f aca="false">IFERROR(I16-F16,"n.d.")</f>
        <v>1731.33</v>
      </c>
      <c r="R16" s="32" t="n">
        <f aca="false">IFERROR(I16-G16,"n.d.")</f>
        <v>1408.26</v>
      </c>
      <c r="S16" s="33" t="n">
        <f aca="false">IFERROR(F16/PIB_2016,"n.d.")</f>
        <v>0.299103875104936</v>
      </c>
      <c r="T16" s="33" t="n">
        <f aca="false">IFERROR(G16/PIB_2019,"n.d.")</f>
        <v>0.297497770712145</v>
      </c>
      <c r="U16" s="33" t="n">
        <f aca="false">IFERROR(H16/PIB_2022,"n.d.")</f>
        <v>0.258324771550197</v>
      </c>
      <c r="V16" s="33" t="n">
        <f aca="false">IFERROR(I16/PIB_2025,"n.d.")</f>
        <v>0.283117424677158</v>
      </c>
      <c r="W16" s="30" t="s">
        <v>147</v>
      </c>
      <c r="X16" s="30" t="s">
        <v>147</v>
      </c>
      <c r="Y16" s="30" t="s">
        <v>147</v>
      </c>
      <c r="Z16" s="30" t="s">
        <v>148</v>
      </c>
      <c r="AA16" s="30" t="s">
        <v>50</v>
      </c>
      <c r="AB16" s="30" t="s">
        <v>621</v>
      </c>
    </row>
    <row r="17" customFormat="false" ht="22.35" hidden="false" customHeight="false" outlineLevel="0" collapsed="false">
      <c r="A17" s="30" t="s">
        <v>622</v>
      </c>
      <c r="B17" s="30" t="s">
        <v>623</v>
      </c>
      <c r="C17" s="30" t="s">
        <v>624</v>
      </c>
      <c r="D17" s="30" t="s">
        <v>140</v>
      </c>
      <c r="E17" s="30" t="s">
        <v>106</v>
      </c>
      <c r="F17" s="55" t="n">
        <v>2572.18</v>
      </c>
      <c r="G17" s="55" t="n">
        <v>2710.91</v>
      </c>
      <c r="H17" s="55" t="n">
        <v>4059.5</v>
      </c>
      <c r="I17" s="55" t="n">
        <v>5054.25</v>
      </c>
      <c r="J17" s="32" t="n">
        <f aca="false">IFERROR(F17*FATOR_2016,"n.d.")</f>
        <v>3987.39336059635</v>
      </c>
      <c r="K17" s="32" t="n">
        <f aca="false">IFERROR(G17*FATOR_2019,"n.d.")</f>
        <v>3772.31387508106</v>
      </c>
      <c r="L17" s="32" t="n">
        <f aca="false">IFERROR(H17*FATOR_2022,"n.d.")</f>
        <v>4642.14364567067</v>
      </c>
      <c r="M17" s="33" t="n">
        <f aca="false">IFERROR(K17/J17-1,"n.d.")</f>
        <v>-0.053939871506213</v>
      </c>
      <c r="N17" s="33" t="n">
        <f aca="false">IFERROR(L17/K17-1,"n.d.")</f>
        <v>0.230582554737951</v>
      </c>
      <c r="O17" s="33" t="n">
        <f aca="false">IFERROR(I17/L17-1,"n.d.")</f>
        <v>0.0887750112415566</v>
      </c>
      <c r="P17" s="33" t="n">
        <f aca="false">IFERROR(I17/J17-1,"n.d.")</f>
        <v>0.267557409797184</v>
      </c>
      <c r="Q17" s="32" t="n">
        <f aca="false">IFERROR(I17-F17,"n.d.")</f>
        <v>2482.07</v>
      </c>
      <c r="R17" s="32" t="n">
        <f aca="false">IFERROR(I17-G17,"n.d.")</f>
        <v>2343.34</v>
      </c>
      <c r="S17" s="33" t="n">
        <f aca="false">IFERROR(F17/PIB_2016,"n.d.")</f>
        <v>0.410280082694682</v>
      </c>
      <c r="T17" s="33" t="n">
        <f aca="false">IFERROR(G17/PIB_2019,"n.d.")</f>
        <v>0.366878053725127</v>
      </c>
      <c r="U17" s="33" t="n">
        <f aca="false">IFERROR(H17/PIB_2022,"n.d.")</f>
        <v>0.402741119853456</v>
      </c>
      <c r="V17" s="33" t="n">
        <f aca="false">IFERROR(I17/PIB_2025,"n.d.")</f>
        <v>0.396767579647505</v>
      </c>
      <c r="W17" s="30" t="s">
        <v>147</v>
      </c>
      <c r="X17" s="30" t="s">
        <v>148</v>
      </c>
      <c r="Y17" s="30" t="s">
        <v>147</v>
      </c>
      <c r="Z17" s="30" t="s">
        <v>148</v>
      </c>
      <c r="AA17" s="30" t="s">
        <v>50</v>
      </c>
      <c r="AB17" s="30" t="s">
        <v>436</v>
      </c>
    </row>
    <row r="18" customFormat="false" ht="22.35" hidden="false" customHeight="false" outlineLevel="0" collapsed="false">
      <c r="A18" s="30" t="s">
        <v>625</v>
      </c>
      <c r="B18" s="30" t="s">
        <v>626</v>
      </c>
      <c r="C18" s="30" t="s">
        <v>627</v>
      </c>
      <c r="D18" s="30" t="s">
        <v>140</v>
      </c>
      <c r="E18" s="30" t="s">
        <v>106</v>
      </c>
      <c r="F18" s="55" t="n">
        <v>2953.55</v>
      </c>
      <c r="G18" s="55" t="n">
        <v>3262.2</v>
      </c>
      <c r="H18" s="55" t="n">
        <v>4726.93</v>
      </c>
      <c r="I18" s="55" t="n">
        <v>5719.39</v>
      </c>
      <c r="J18" s="32" t="n">
        <f aca="false">IFERROR(F18*FATOR_2016,"n.d.")</f>
        <v>4578.59312341646</v>
      </c>
      <c r="K18" s="32" t="n">
        <f aca="false">IFERROR(G18*FATOR_2019,"n.d.")</f>
        <v>4539.4507096471</v>
      </c>
      <c r="L18" s="32" t="n">
        <f aca="false">IFERROR(H18*FATOR_2022,"n.d.")</f>
        <v>5405.36717897033</v>
      </c>
      <c r="M18" s="33" t="n">
        <f aca="false">IFERROR(K18/J18-1,"n.d.")</f>
        <v>-0.00854900462091135</v>
      </c>
      <c r="N18" s="33" t="n">
        <f aca="false">IFERROR(L18/K18-1,"n.d.")</f>
        <v>0.190753578948</v>
      </c>
      <c r="O18" s="33" t="n">
        <f aca="false">IFERROR(I18/L18-1,"n.d.")</f>
        <v>0.0580946327293703</v>
      </c>
      <c r="P18" s="33" t="n">
        <f aca="false">IFERROR(I18/J18-1,"n.d.")</f>
        <v>0.249158823645875</v>
      </c>
      <c r="Q18" s="32" t="n">
        <f aca="false">IFERROR(I18-F18,"n.d.")</f>
        <v>2765.84</v>
      </c>
      <c r="R18" s="32" t="n">
        <f aca="false">IFERROR(I18-G18,"n.d.")</f>
        <v>2457.19</v>
      </c>
      <c r="S18" s="33" t="n">
        <f aca="false">IFERROR(F18/PIB_2016,"n.d.")</f>
        <v>0.471111173495975</v>
      </c>
      <c r="T18" s="33" t="n">
        <f aca="false">IFERROR(G18/PIB_2019,"n.d.")</f>
        <v>0.441486285735088</v>
      </c>
      <c r="U18" s="33" t="n">
        <f aca="false">IFERROR(H18/PIB_2022,"n.d.")</f>
        <v>0.468956541857099</v>
      </c>
      <c r="V18" s="33" t="n">
        <f aca="false">IFERROR(I18/PIB_2025,"n.d.")</f>
        <v>0.448982248080357</v>
      </c>
      <c r="W18" s="30" t="s">
        <v>147</v>
      </c>
      <c r="X18" s="30" t="s">
        <v>148</v>
      </c>
      <c r="Y18" s="30" t="s">
        <v>147</v>
      </c>
      <c r="Z18" s="30" t="s">
        <v>148</v>
      </c>
      <c r="AA18" s="30" t="s">
        <v>50</v>
      </c>
      <c r="AB18" s="30" t="s">
        <v>628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4" t="s">
        <v>457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19" t="s">
        <v>629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630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582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583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584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19" t="s">
        <v>585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19" t="s">
        <v>586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19" t="s">
        <v>587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</sheetData>
  <autoFilter ref="A3:AB1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631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632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22.35" hidden="false" customHeight="false" outlineLevel="0" collapsed="false">
      <c r="A4" s="30" t="s">
        <v>167</v>
      </c>
      <c r="B4" s="30" t="s">
        <v>633</v>
      </c>
      <c r="C4" s="30" t="s">
        <v>169</v>
      </c>
      <c r="D4" s="30" t="s">
        <v>140</v>
      </c>
      <c r="E4" s="30" t="s">
        <v>106</v>
      </c>
      <c r="F4" s="55" t="n">
        <v>3113</v>
      </c>
      <c r="G4" s="55" t="n">
        <v>4248</v>
      </c>
      <c r="H4" s="55" t="n">
        <v>5951</v>
      </c>
      <c r="I4" s="55" t="n">
        <v>8635</v>
      </c>
      <c r="J4" s="32" t="n">
        <f aca="false">IFERROR(F4*FATOR_2016,"n.d.")</f>
        <v>4825.77250874217</v>
      </c>
      <c r="K4" s="32" t="n">
        <f aca="false">IFERROR(G4*FATOR_2019,"n.d.")</f>
        <v>5911.22145011983</v>
      </c>
      <c r="L4" s="32" t="n">
        <f aca="false">IFERROR(H4*FATOR_2022,"n.d.")</f>
        <v>6805.12300415966</v>
      </c>
      <c r="M4" s="33" t="n">
        <f aca="false">IFERROR(K4/J4-1,"n.d.")</f>
        <v>0.224927499050421</v>
      </c>
      <c r="N4" s="33" t="n">
        <f aca="false">IFERROR(L4/K4-1,"n.d.")</f>
        <v>0.15122112436199</v>
      </c>
      <c r="O4" s="33" t="n">
        <f aca="false">IFERROR(I4/L4-1,"n.d.")</f>
        <v>0.268896975810992</v>
      </c>
      <c r="P4" s="33" t="n">
        <f aca="false">IFERROR(I4/J4-1,"n.d.")</f>
        <v>0.789350820901148</v>
      </c>
      <c r="Q4" s="32" t="n">
        <f aca="false">IFERROR(I4-F4,"n.d.")</f>
        <v>5522</v>
      </c>
      <c r="R4" s="32" t="n">
        <f aca="false">IFERROR(I4-G4,"n.d.")</f>
        <v>4387</v>
      </c>
      <c r="S4" s="33" t="n">
        <f aca="false">IFERROR(F4/PIB_2016,"n.d.")</f>
        <v>0.496544525433113</v>
      </c>
      <c r="T4" s="33" t="n">
        <f aca="false">IFERROR(G4/PIB_2019,"n.d.")</f>
        <v>0.574898455582937</v>
      </c>
      <c r="U4" s="33" t="n">
        <f aca="false">IFERROR(H4/PIB_2022,"n.d.")</f>
        <v>0.590395961140021</v>
      </c>
      <c r="V4" s="33" t="n">
        <f aca="false">IFERROR(I4/PIB_2025,"n.d.")</f>
        <v>0.677862798685504</v>
      </c>
      <c r="W4" s="30" t="s">
        <v>170</v>
      </c>
      <c r="X4" s="30" t="s">
        <v>171</v>
      </c>
      <c r="Y4" s="30" t="s">
        <v>170</v>
      </c>
      <c r="Z4" s="30" t="s">
        <v>172</v>
      </c>
      <c r="AA4" s="30" t="s">
        <v>50</v>
      </c>
      <c r="AB4" s="30" t="s">
        <v>634</v>
      </c>
    </row>
    <row r="5" customFormat="false" ht="22.35" hidden="false" customHeight="false" outlineLevel="0" collapsed="false">
      <c r="A5" s="30" t="s">
        <v>635</v>
      </c>
      <c r="B5" s="30" t="s">
        <v>636</v>
      </c>
      <c r="C5" s="30" t="s">
        <v>637</v>
      </c>
      <c r="D5" s="30" t="s">
        <v>140</v>
      </c>
      <c r="E5" s="30" t="s">
        <v>106</v>
      </c>
      <c r="F5" s="55" t="n">
        <v>2986</v>
      </c>
      <c r="G5" s="55" t="n">
        <v>4083</v>
      </c>
      <c r="H5" s="55" t="n">
        <v>5698</v>
      </c>
      <c r="I5" s="55" t="n">
        <v>8309</v>
      </c>
      <c r="J5" s="32" t="n">
        <f aca="false">IFERROR(F5*FATOR_2016,"n.d.")</f>
        <v>4628.89711246519</v>
      </c>
      <c r="K5" s="32" t="n">
        <f aca="false">IFERROR(G5*FATOR_2019,"n.d.")</f>
        <v>5681.61892204314</v>
      </c>
      <c r="L5" s="32" t="n">
        <f aca="false">IFERROR(H5*FATOR_2022,"n.d.")</f>
        <v>6515.81093559095</v>
      </c>
      <c r="M5" s="33" t="n">
        <f aca="false">IFERROR(K5/J5-1,"n.d.")</f>
        <v>0.227423894720638</v>
      </c>
      <c r="N5" s="33" t="n">
        <f aca="false">IFERROR(L5/K5-1,"n.d.")</f>
        <v>0.14682294342399</v>
      </c>
      <c r="O5" s="33" t="n">
        <f aca="false">IFERROR(I5/L5-1,"n.d.")</f>
        <v>0.275205815843154</v>
      </c>
      <c r="P5" s="33" t="n">
        <f aca="false">IFERROR(I5/J5-1,"n.d.")</f>
        <v>0.795028015987791</v>
      </c>
      <c r="Q5" s="32" t="n">
        <f aca="false">IFERROR(I5-F5,"n.d.")</f>
        <v>5323</v>
      </c>
      <c r="R5" s="32" t="n">
        <f aca="false">IFERROR(I5-G5,"n.d.")</f>
        <v>4226</v>
      </c>
      <c r="S5" s="33" t="n">
        <f aca="false">IFERROR(F5/PIB_2016,"n.d.")</f>
        <v>0.476287167665684</v>
      </c>
      <c r="T5" s="33" t="n">
        <f aca="false">IFERROR(G5/PIB_2019,"n.d.")</f>
        <v>0.552568360203656</v>
      </c>
      <c r="U5" s="33" t="n">
        <f aca="false">IFERROR(H5/PIB_2022,"n.d.")</f>
        <v>0.565295948004678</v>
      </c>
      <c r="V5" s="33" t="n">
        <f aca="false">IFERROR(I5/PIB_2025,"n.d.")</f>
        <v>0.652271221109189</v>
      </c>
      <c r="W5" s="30" t="s">
        <v>638</v>
      </c>
      <c r="X5" s="30" t="s">
        <v>172</v>
      </c>
      <c r="Y5" s="30" t="s">
        <v>638</v>
      </c>
      <c r="Z5" s="30" t="s">
        <v>172</v>
      </c>
      <c r="AA5" s="30" t="s">
        <v>50</v>
      </c>
      <c r="AB5" s="30" t="s">
        <v>436</v>
      </c>
    </row>
    <row r="6" customFormat="false" ht="32.8" hidden="false" customHeight="false" outlineLevel="0" collapsed="false">
      <c r="A6" s="30" t="s">
        <v>174</v>
      </c>
      <c r="B6" s="30" t="s">
        <v>639</v>
      </c>
      <c r="C6" s="30" t="s">
        <v>176</v>
      </c>
      <c r="D6" s="30" t="s">
        <v>177</v>
      </c>
      <c r="E6" s="30" t="s">
        <v>106</v>
      </c>
      <c r="F6" s="55" t="n">
        <v>4378.48639</v>
      </c>
      <c r="G6" s="55" t="n">
        <v>5500.10416</v>
      </c>
      <c r="H6" s="55" t="n">
        <v>7224.88223</v>
      </c>
      <c r="I6" s="55" t="n">
        <v>10017.91914</v>
      </c>
      <c r="J6" s="32" t="n">
        <f aca="false">IFERROR(F6*FATOR_2016,"n.d.")</f>
        <v>6787.52947342235</v>
      </c>
      <c r="K6" s="32" t="n">
        <f aca="false">IFERROR(G6*FATOR_2019,"n.d.")</f>
        <v>7653.56254437036</v>
      </c>
      <c r="L6" s="32" t="n">
        <f aca="false">IFERROR(H6*FATOR_2022,"n.d.")</f>
        <v>8261.84040761508</v>
      </c>
      <c r="M6" s="33" t="n">
        <f aca="false">IFERROR(K6/J6-1,"n.d.")</f>
        <v>0.12759179526794</v>
      </c>
      <c r="N6" s="33" t="n">
        <f aca="false">IFERROR(L6/K6-1,"n.d.")</f>
        <v>0.0794764346300592</v>
      </c>
      <c r="O6" s="33" t="n">
        <f aca="false">IFERROR(I6/L6-1,"n.d.")</f>
        <v>0.212552971946337</v>
      </c>
      <c r="P6" s="33" t="n">
        <f aca="false">IFERROR(I6/J6-1,"n.d.")</f>
        <v>0.475930112602348</v>
      </c>
      <c r="Q6" s="32" t="n">
        <f aca="false">IFERROR(I6-F6,"n.d.")</f>
        <v>5639.43275</v>
      </c>
      <c r="R6" s="32" t="n">
        <f aca="false">IFERROR(I6-G6,"n.d.")</f>
        <v>4517.81498</v>
      </c>
      <c r="S6" s="33" t="n">
        <f aca="false">IFERROR(F6/PIB_2016,"n.d.")</f>
        <v>0.698398151827142</v>
      </c>
      <c r="T6" s="33" t="n">
        <f aca="false">IFERROR(G6/PIB_2019,"n.d.")</f>
        <v>0.744350609022901</v>
      </c>
      <c r="U6" s="33" t="n">
        <f aca="false">IFERROR(H6/PIB_2022,"n.d.")</f>
        <v>0.716777228752194</v>
      </c>
      <c r="V6" s="33" t="n">
        <f aca="false">IFERROR(I6/PIB_2025,"n.d.")</f>
        <v>0.786424401302313</v>
      </c>
      <c r="W6" s="30" t="s">
        <v>178</v>
      </c>
      <c r="X6" s="30" t="s">
        <v>179</v>
      </c>
      <c r="Y6" s="30" t="s">
        <v>178</v>
      </c>
      <c r="Z6" s="30" t="s">
        <v>180</v>
      </c>
      <c r="AA6" s="30" t="s">
        <v>50</v>
      </c>
      <c r="AB6" s="30" t="s">
        <v>640</v>
      </c>
    </row>
    <row r="7" customFormat="false" ht="15" hidden="false" customHeight="false" outlineLevel="0" collapsed="false">
      <c r="A7" s="30" t="s">
        <v>641</v>
      </c>
      <c r="B7" s="30" t="s">
        <v>642</v>
      </c>
      <c r="C7" s="30" t="s">
        <v>643</v>
      </c>
      <c r="D7" s="30" t="s">
        <v>177</v>
      </c>
      <c r="E7" s="30" t="s">
        <v>644</v>
      </c>
      <c r="F7" s="58" t="n">
        <v>0.6984</v>
      </c>
      <c r="G7" s="58" t="n">
        <v>0.7444</v>
      </c>
      <c r="H7" s="58" t="n">
        <v>0.7168</v>
      </c>
      <c r="I7" s="58" t="n">
        <v>0.7864</v>
      </c>
      <c r="J7" s="32" t="s">
        <v>133</v>
      </c>
      <c r="K7" s="32" t="s">
        <v>133</v>
      </c>
      <c r="L7" s="32" t="s">
        <v>133</v>
      </c>
      <c r="M7" s="53" t="n">
        <f aca="false">IFERROR((G7-F7)*100,"n.d.")</f>
        <v>4.59999999999999</v>
      </c>
      <c r="N7" s="53" t="n">
        <f aca="false">IFERROR((H7-G7)*100,"n.d.")</f>
        <v>-2.76</v>
      </c>
      <c r="O7" s="53" t="n">
        <f aca="false">IFERROR((I7-H7)*100,"n.d.")</f>
        <v>6.96</v>
      </c>
      <c r="P7" s="53" t="n">
        <f aca="false">IFERROR((I7-F7)*100,"n.d.")</f>
        <v>8.8</v>
      </c>
      <c r="Q7" s="53" t="n">
        <f aca="false">IFERROR((I7-F7)*100,"n.d.")</f>
        <v>8.8</v>
      </c>
      <c r="R7" s="53" t="n">
        <f aca="false">IFERROR((I7-G7)*100,"n.d.")</f>
        <v>4.2</v>
      </c>
      <c r="S7" s="33" t="n">
        <f aca="false">IF(ISNUMBER(F7),F7,"n.d.")</f>
        <v>0.6984</v>
      </c>
      <c r="T7" s="33" t="n">
        <f aca="false">IF(ISNUMBER(G7),G7,"n.d.")</f>
        <v>0.7444</v>
      </c>
      <c r="U7" s="33" t="n">
        <f aca="false">IF(ISNUMBER(H7),H7,"n.d.")</f>
        <v>0.7168</v>
      </c>
      <c r="V7" s="33" t="n">
        <f aca="false">IF(ISNUMBER(I7),I7,"n.d.")</f>
        <v>0.7864</v>
      </c>
      <c r="W7" s="30" t="s">
        <v>178</v>
      </c>
      <c r="X7" s="30" t="s">
        <v>645</v>
      </c>
      <c r="Y7" s="30" t="s">
        <v>178</v>
      </c>
      <c r="Z7" s="30" t="s">
        <v>180</v>
      </c>
      <c r="AA7" s="30" t="s">
        <v>50</v>
      </c>
      <c r="AB7" s="30" t="s">
        <v>646</v>
      </c>
    </row>
    <row r="8" customFormat="false" ht="32.8" hidden="false" customHeight="false" outlineLevel="0" collapsed="false">
      <c r="A8" s="30" t="s">
        <v>182</v>
      </c>
      <c r="B8" s="30" t="s">
        <v>647</v>
      </c>
      <c r="C8" s="30" t="s">
        <v>184</v>
      </c>
      <c r="D8" s="30" t="s">
        <v>185</v>
      </c>
      <c r="E8" s="30" t="s">
        <v>106</v>
      </c>
      <c r="F8" s="55" t="n">
        <v>2892.91346</v>
      </c>
      <c r="G8" s="55" t="n">
        <v>4041.76878</v>
      </c>
      <c r="H8" s="55" t="n">
        <v>5658.01687</v>
      </c>
      <c r="I8" s="55" t="n">
        <v>8311.08576</v>
      </c>
      <c r="J8" s="32" t="n">
        <f aca="false">IFERROR(F8*FATOR_2016,"n.d.")</f>
        <v>4484.59436088603</v>
      </c>
      <c r="K8" s="32" t="n">
        <f aca="false">IFERROR(G8*FATOR_2019,"n.d.")</f>
        <v>5624.24442296625</v>
      </c>
      <c r="L8" s="32" t="n">
        <f aca="false">IFERROR(H8*FATOR_2022,"n.d.")</f>
        <v>6470.08918836505</v>
      </c>
      <c r="M8" s="33" t="n">
        <f aca="false">IFERROR(K8/J8-1,"n.d.")</f>
        <v>0.254125561950504</v>
      </c>
      <c r="N8" s="33" t="n">
        <f aca="false">IFERROR(L8/K8-1,"n.d.")</f>
        <v>0.150392604194947</v>
      </c>
      <c r="O8" s="33" t="n">
        <f aca="false">IFERROR(I8/L8-1,"n.d.")</f>
        <v>0.284539597220012</v>
      </c>
      <c r="P8" s="33" t="n">
        <f aca="false">IFERROR(I8/J8-1,"n.d.")</f>
        <v>0.853252510971353</v>
      </c>
      <c r="Q8" s="32" t="n">
        <f aca="false">IFERROR(I8-F8,"n.d.")</f>
        <v>5418.1723</v>
      </c>
      <c r="R8" s="32" t="n">
        <f aca="false">IFERROR(I8-G8,"n.d.")</f>
        <v>4269.31698</v>
      </c>
      <c r="S8" s="33" t="n">
        <f aca="false">IFERROR(F8/PIB_2016,"n.d.")</f>
        <v>0.461439235822282</v>
      </c>
      <c r="T8" s="33" t="n">
        <f aca="false">IFERROR(G8/PIB_2019,"n.d.")</f>
        <v>0.546988377929692</v>
      </c>
      <c r="U8" s="33" t="n">
        <f aca="false">IFERROR(H8/PIB_2022,"n.d.")</f>
        <v>0.561329240146211</v>
      </c>
      <c r="V8" s="33" t="n">
        <f aca="false">IFERROR(I8/PIB_2025,"n.d.")</f>
        <v>0.652434956964544</v>
      </c>
      <c r="W8" s="30" t="s">
        <v>178</v>
      </c>
      <c r="X8" s="30" t="s">
        <v>186</v>
      </c>
      <c r="Y8" s="30" t="s">
        <v>178</v>
      </c>
      <c r="Z8" s="30" t="s">
        <v>180</v>
      </c>
      <c r="AA8" s="30" t="s">
        <v>50</v>
      </c>
      <c r="AB8" s="30" t="s">
        <v>436</v>
      </c>
    </row>
    <row r="9" customFormat="false" ht="22.35" hidden="false" customHeight="false" outlineLevel="0" collapsed="false">
      <c r="A9" s="30" t="s">
        <v>648</v>
      </c>
      <c r="B9" s="30" t="s">
        <v>649</v>
      </c>
      <c r="C9" s="30" t="s">
        <v>643</v>
      </c>
      <c r="D9" s="30" t="s">
        <v>185</v>
      </c>
      <c r="E9" s="30" t="s">
        <v>644</v>
      </c>
      <c r="F9" s="58" t="n">
        <v>0.4614</v>
      </c>
      <c r="G9" s="58" t="n">
        <v>0.547</v>
      </c>
      <c r="H9" s="58" t="n">
        <v>0.5613</v>
      </c>
      <c r="I9" s="58" t="n">
        <v>0.6524</v>
      </c>
      <c r="J9" s="32" t="s">
        <v>133</v>
      </c>
      <c r="K9" s="32" t="s">
        <v>133</v>
      </c>
      <c r="L9" s="32" t="s">
        <v>133</v>
      </c>
      <c r="M9" s="53" t="n">
        <f aca="false">IFERROR((G9-F9)*100,"n.d.")</f>
        <v>8.56000000000001</v>
      </c>
      <c r="N9" s="53" t="n">
        <f aca="false">IFERROR((H9-G9)*100,"n.d.")</f>
        <v>1.43</v>
      </c>
      <c r="O9" s="53" t="n">
        <f aca="false">IFERROR((I9-H9)*100,"n.d.")</f>
        <v>9.11</v>
      </c>
      <c r="P9" s="53" t="n">
        <f aca="false">IFERROR((I9-F9)*100,"n.d.")</f>
        <v>19.1</v>
      </c>
      <c r="Q9" s="53" t="n">
        <f aca="false">IFERROR((I9-F9)*100,"n.d.")</f>
        <v>19.1</v>
      </c>
      <c r="R9" s="53" t="n">
        <f aca="false">IFERROR((I9-G9)*100,"n.d.")</f>
        <v>10.54</v>
      </c>
      <c r="S9" s="33" t="n">
        <f aca="false">IF(ISNUMBER(F9),F9,"n.d.")</f>
        <v>0.4614</v>
      </c>
      <c r="T9" s="33" t="n">
        <f aca="false">IF(ISNUMBER(G9),G9,"n.d.")</f>
        <v>0.547</v>
      </c>
      <c r="U9" s="33" t="n">
        <f aca="false">IF(ISNUMBER(H9),H9,"n.d.")</f>
        <v>0.5613</v>
      </c>
      <c r="V9" s="33" t="n">
        <f aca="false">IF(ISNUMBER(I9),I9,"n.d.")</f>
        <v>0.6524</v>
      </c>
      <c r="W9" s="30" t="s">
        <v>178</v>
      </c>
      <c r="X9" s="30" t="s">
        <v>650</v>
      </c>
      <c r="Y9" s="30" t="s">
        <v>178</v>
      </c>
      <c r="Z9" s="30" t="s">
        <v>180</v>
      </c>
      <c r="AA9" s="30" t="s">
        <v>50</v>
      </c>
      <c r="AB9" s="30" t="s">
        <v>651</v>
      </c>
    </row>
    <row r="10" customFormat="false" ht="22.35" hidden="false" customHeight="false" outlineLevel="0" collapsed="false">
      <c r="A10" s="30" t="s">
        <v>202</v>
      </c>
      <c r="B10" s="30" t="s">
        <v>652</v>
      </c>
      <c r="C10" s="30" t="s">
        <v>204</v>
      </c>
      <c r="D10" s="30" t="s">
        <v>140</v>
      </c>
      <c r="E10" s="30" t="s">
        <v>106</v>
      </c>
      <c r="F10" s="55" t="n">
        <v>204.89</v>
      </c>
      <c r="G10" s="55" t="n">
        <v>285.09</v>
      </c>
      <c r="H10" s="55" t="n">
        <v>247.31</v>
      </c>
      <c r="I10" s="55" t="n">
        <v>363.47</v>
      </c>
      <c r="J10" s="32" t="n">
        <f aca="false">IFERROR(F10*FATOR_2016,"n.d.")</f>
        <v>317.620471993634</v>
      </c>
      <c r="K10" s="32" t="n">
        <f aca="false">IFERROR(G10*FATOR_2019,"n.d.")</f>
        <v>396.711422602321</v>
      </c>
      <c r="L10" s="32" t="n">
        <f aca="false">IFERROR(H10*FATOR_2022,"n.d.")</f>
        <v>282.805405840821</v>
      </c>
      <c r="M10" s="33" t="n">
        <f aca="false">IFERROR(K10/J10-1,"n.d.")</f>
        <v>0.249010871724515</v>
      </c>
      <c r="N10" s="33" t="n">
        <f aca="false">IFERROR(L10/K10-1,"n.d.")</f>
        <v>-0.287125629038628</v>
      </c>
      <c r="O10" s="33" t="n">
        <f aca="false">IFERROR(I10/L10-1,"n.d.")</f>
        <v>0.285230029176252</v>
      </c>
      <c r="P10" s="33" t="n">
        <f aca="false">IFERROR(I10/J10-1,"n.d.")</f>
        <v>0.144353188944586</v>
      </c>
      <c r="Q10" s="32" t="n">
        <f aca="false">IFERROR(I10-F10,"n.d.")</f>
        <v>158.58</v>
      </c>
      <c r="R10" s="32" t="n">
        <f aca="false">IFERROR(I10-G10,"n.d.")</f>
        <v>78.3800000000001</v>
      </c>
      <c r="S10" s="33" t="n">
        <f aca="false">IFERROR(F10/PIB_2016,"n.d.")</f>
        <v>0.0326813388422713</v>
      </c>
      <c r="T10" s="33" t="n">
        <f aca="false">IFERROR(G10/PIB_2019,"n.d.")</f>
        <v>0.0385823447980554</v>
      </c>
      <c r="U10" s="33" t="n">
        <f aca="false">IFERROR(H10/PIB_2022,"n.d.")</f>
        <v>0.0245355108636428</v>
      </c>
      <c r="V10" s="33" t="n">
        <f aca="false">IFERROR(I10/PIB_2025,"n.d.")</f>
        <v>0.0285330389621563</v>
      </c>
      <c r="W10" s="30" t="s">
        <v>147</v>
      </c>
      <c r="X10" s="30" t="s">
        <v>147</v>
      </c>
      <c r="Y10" s="30" t="s">
        <v>147</v>
      </c>
      <c r="Z10" s="30" t="s">
        <v>148</v>
      </c>
      <c r="AA10" s="30" t="s">
        <v>50</v>
      </c>
      <c r="AB10" s="30" t="s">
        <v>653</v>
      </c>
    </row>
    <row r="11" customFormat="false" ht="22.35" hidden="false" customHeight="false" outlineLevel="0" collapsed="false">
      <c r="A11" s="30" t="s">
        <v>206</v>
      </c>
      <c r="B11" s="30" t="s">
        <v>654</v>
      </c>
      <c r="C11" s="30" t="s">
        <v>208</v>
      </c>
      <c r="D11" s="30" t="s">
        <v>185</v>
      </c>
      <c r="E11" s="30" t="s">
        <v>106</v>
      </c>
      <c r="F11" s="55" t="n">
        <v>407.024</v>
      </c>
      <c r="G11" s="55" t="n">
        <v>367.282</v>
      </c>
      <c r="H11" s="55" t="n">
        <v>586.4</v>
      </c>
      <c r="I11" s="55" t="n">
        <v>1007.6</v>
      </c>
      <c r="J11" s="32" t="n">
        <f aca="false">IFERROR(F11*FATOR_2016,"n.d.")</f>
        <v>630.968592868061</v>
      </c>
      <c r="K11" s="32" t="n">
        <f aca="false">IFERROR(G11*FATOR_2019,"n.d.")</f>
        <v>511.084095254922</v>
      </c>
      <c r="L11" s="32" t="n">
        <f aca="false">IFERROR(H11*FATOR_2022,"n.d.")</f>
        <v>670.563624540283</v>
      </c>
      <c r="M11" s="33" t="n">
        <f aca="false">IFERROR(K11/J11-1,"n.d.")</f>
        <v>-0.190000736911809</v>
      </c>
      <c r="N11" s="33" t="n">
        <f aca="false">IFERROR(L11/K11-1,"n.d.")</f>
        <v>0.312041659613403</v>
      </c>
      <c r="O11" s="33" t="n">
        <f aca="false">IFERROR(I11/L11-1,"n.d.")</f>
        <v>0.50261654990722</v>
      </c>
      <c r="P11" s="33" t="n">
        <f aca="false">IFERROR(I11/J11-1,"n.d.")</f>
        <v>0.596909911822972</v>
      </c>
      <c r="Q11" s="32" t="n">
        <f aca="false">IFERROR(I11-F11,"n.d.")</f>
        <v>600.576</v>
      </c>
      <c r="R11" s="32" t="n">
        <f aca="false">IFERROR(I11-G11,"n.d.")</f>
        <v>640.318</v>
      </c>
      <c r="S11" s="33" t="n">
        <f aca="false">IFERROR(F11/PIB_2016,"n.d.")</f>
        <v>0.0649230770703139</v>
      </c>
      <c r="T11" s="33" t="n">
        <f aca="false">IFERROR(G11/PIB_2019,"n.d.")</f>
        <v>0.0497057096429878</v>
      </c>
      <c r="U11" s="33" t="n">
        <f aca="false">IFERROR(H11/PIB_2022,"n.d.")</f>
        <v>0.0581764731326682</v>
      </c>
      <c r="V11" s="33" t="n">
        <f aca="false">IFERROR(I11/PIB_2025,"n.d.")</f>
        <v>0.0790983851714549</v>
      </c>
      <c r="W11" s="30" t="s">
        <v>209</v>
      </c>
      <c r="X11" s="30" t="s">
        <v>210</v>
      </c>
      <c r="Y11" s="30" t="s">
        <v>209</v>
      </c>
      <c r="Z11" s="30" t="s">
        <v>211</v>
      </c>
      <c r="AA11" s="30" t="s">
        <v>50</v>
      </c>
      <c r="AB11" s="30" t="s">
        <v>655</v>
      </c>
    </row>
    <row r="12" customFormat="false" ht="22.35" hidden="false" customHeight="false" outlineLevel="0" collapsed="false">
      <c r="A12" s="30" t="s">
        <v>656</v>
      </c>
      <c r="B12" s="30" t="s">
        <v>657</v>
      </c>
      <c r="C12" s="30" t="s">
        <v>658</v>
      </c>
      <c r="D12" s="30" t="s">
        <v>185</v>
      </c>
      <c r="E12" s="30" t="s">
        <v>644</v>
      </c>
      <c r="F12" s="58" t="n">
        <v>0.0646</v>
      </c>
      <c r="G12" s="58" t="n">
        <v>0.0506</v>
      </c>
      <c r="H12" s="58" t="n">
        <v>0.0596</v>
      </c>
      <c r="I12" s="58" t="n">
        <v>0.0791</v>
      </c>
      <c r="J12" s="32" t="s">
        <v>133</v>
      </c>
      <c r="K12" s="32" t="s">
        <v>133</v>
      </c>
      <c r="L12" s="32" t="s">
        <v>133</v>
      </c>
      <c r="M12" s="53" t="n">
        <f aca="false">IFERROR((G12-F12)*100,"n.d.")</f>
        <v>-1.4</v>
      </c>
      <c r="N12" s="53" t="n">
        <f aca="false">IFERROR((H12-G12)*100,"n.d.")</f>
        <v>0.9</v>
      </c>
      <c r="O12" s="53" t="n">
        <f aca="false">IFERROR((I12-H12)*100,"n.d.")</f>
        <v>1.95</v>
      </c>
      <c r="P12" s="53" t="n">
        <f aca="false">IFERROR((I12-F12)*100,"n.d.")</f>
        <v>1.45</v>
      </c>
      <c r="Q12" s="53" t="n">
        <f aca="false">IFERROR((I12-F12)*100,"n.d.")</f>
        <v>1.45</v>
      </c>
      <c r="R12" s="53" t="n">
        <f aca="false">IFERROR((I12-G12)*100,"n.d.")</f>
        <v>2.85</v>
      </c>
      <c r="S12" s="33" t="n">
        <f aca="false">IF(ISNUMBER(F12),F12,"n.d.")</f>
        <v>0.0646</v>
      </c>
      <c r="T12" s="33" t="n">
        <f aca="false">IF(ISNUMBER(G12),G12,"n.d.")</f>
        <v>0.0506</v>
      </c>
      <c r="U12" s="33" t="n">
        <f aca="false">IF(ISNUMBER(H12),H12,"n.d.")</f>
        <v>0.0596</v>
      </c>
      <c r="V12" s="33" t="n">
        <f aca="false">IF(ISNUMBER(I12),I12,"n.d.")</f>
        <v>0.0791</v>
      </c>
      <c r="W12" s="30" t="s">
        <v>659</v>
      </c>
      <c r="X12" s="30" t="s">
        <v>660</v>
      </c>
      <c r="Y12" s="30" t="s">
        <v>659</v>
      </c>
      <c r="Z12" s="30" t="s">
        <v>661</v>
      </c>
      <c r="AA12" s="30" t="s">
        <v>50</v>
      </c>
      <c r="AB12" s="30" t="s">
        <v>662</v>
      </c>
    </row>
    <row r="13" customFormat="false" ht="22.35" hidden="false" customHeight="false" outlineLevel="0" collapsed="false">
      <c r="A13" s="30" t="s">
        <v>663</v>
      </c>
      <c r="B13" s="30" t="s">
        <v>664</v>
      </c>
      <c r="C13" s="30" t="s">
        <v>619</v>
      </c>
      <c r="D13" s="30" t="s">
        <v>185</v>
      </c>
      <c r="E13" s="30" t="s">
        <v>106</v>
      </c>
      <c r="F13" s="55" t="n">
        <v>-155.791</v>
      </c>
      <c r="G13" s="55" t="n">
        <v>-61.872</v>
      </c>
      <c r="H13" s="55" t="n">
        <v>126</v>
      </c>
      <c r="I13" s="55" t="n">
        <v>-55.021</v>
      </c>
      <c r="J13" s="32" t="n">
        <f aca="false">IFERROR(F13*FATOR_2016,"n.d.")</f>
        <v>-241.507203632975</v>
      </c>
      <c r="K13" s="32" t="n">
        <f aca="false">IFERROR(G13*FATOR_2019,"n.d.")</f>
        <v>-86.0967734373385</v>
      </c>
      <c r="L13" s="32" t="n">
        <f aca="false">IFERROR(H13*FATOR_2022,"n.d.")</f>
        <v>144.084271302994</v>
      </c>
      <c r="M13" s="33" t="n">
        <f aca="false">IFERROR(K13/J13-1,"n.d.")</f>
        <v>-0.643502255244602</v>
      </c>
      <c r="N13" s="33" t="n">
        <f aca="false">IFERROR(L13/K13-1,"n.d.")</f>
        <v>-2.67351534268423</v>
      </c>
      <c r="O13" s="33" t="n">
        <f aca="false">IFERROR(I13/L13-1,"n.d.")</f>
        <v>-1.38186680268727</v>
      </c>
      <c r="P13" s="33" t="n">
        <f aca="false">IFERROR(I13/J13-1,"n.d.")</f>
        <v>-0.772176567935353</v>
      </c>
      <c r="Q13" s="32" t="n">
        <f aca="false">IFERROR(I13-F13,"n.d.")</f>
        <v>100.77</v>
      </c>
      <c r="R13" s="32" t="n">
        <f aca="false">IFERROR(I13-G13,"n.d.")</f>
        <v>6.851</v>
      </c>
      <c r="S13" s="33" t="n">
        <f aca="false">IFERROR(F13/PIB_2016,"n.d.")</f>
        <v>-0.0248497167239801</v>
      </c>
      <c r="T13" s="33" t="n">
        <f aca="false">IFERROR(G13/PIB_2019,"n.d.")</f>
        <v>-0.0083733797654961</v>
      </c>
      <c r="U13" s="33" t="n">
        <f aca="false">IFERROR(H13/PIB_2022,"n.d.")</f>
        <v>0.0125004017986292</v>
      </c>
      <c r="V13" s="33" t="n">
        <f aca="false">IFERROR(I13/PIB_2025,"n.d.")</f>
        <v>-0.00431924598106255</v>
      </c>
      <c r="W13" s="30" t="s">
        <v>659</v>
      </c>
      <c r="X13" s="30" t="s">
        <v>660</v>
      </c>
      <c r="Y13" s="30" t="s">
        <v>659</v>
      </c>
      <c r="Z13" s="30" t="s">
        <v>661</v>
      </c>
      <c r="AA13" s="30" t="s">
        <v>50</v>
      </c>
      <c r="AB13" s="30" t="s">
        <v>436</v>
      </c>
    </row>
    <row r="14" customFormat="false" ht="22.35" hidden="false" customHeight="false" outlineLevel="0" collapsed="false">
      <c r="A14" s="30" t="s">
        <v>665</v>
      </c>
      <c r="B14" s="30" t="s">
        <v>666</v>
      </c>
      <c r="C14" s="30" t="s">
        <v>667</v>
      </c>
      <c r="D14" s="30" t="s">
        <v>185</v>
      </c>
      <c r="E14" s="30" t="s">
        <v>106</v>
      </c>
      <c r="F14" s="32" t="n">
        <f aca="false">F13-F11</f>
        <v>-562.815</v>
      </c>
      <c r="G14" s="32" t="n">
        <f aca="false">G13-G11</f>
        <v>-429.154</v>
      </c>
      <c r="H14" s="32" t="n">
        <f aca="false">H13-H11</f>
        <v>-460.4</v>
      </c>
      <c r="I14" s="55" t="n">
        <v>-1062.6</v>
      </c>
      <c r="J14" s="32" t="n">
        <f aca="false">IFERROR(F14*FATOR_2016,"n.d.")</f>
        <v>-872.475796501037</v>
      </c>
      <c r="K14" s="32" t="n">
        <f aca="false">IFERROR(G14*FATOR_2019,"n.d.")</f>
        <v>-597.180868692261</v>
      </c>
      <c r="L14" s="32" t="n">
        <f aca="false">IFERROR(H14*FATOR_2022,"n.d.")</f>
        <v>-526.479353237289</v>
      </c>
      <c r="M14" s="33" t="n">
        <f aca="false">IFERROR(K14/J14-1,"n.d.")</f>
        <v>-0.315533025572531</v>
      </c>
      <c r="N14" s="33" t="n">
        <f aca="false">IFERROR(L14/K14-1,"n.d.")</f>
        <v>-0.118392130695342</v>
      </c>
      <c r="O14" s="33" t="n">
        <f aca="false">IFERROR(I14/L14-1,"n.d.")</f>
        <v>1.01831276661874</v>
      </c>
      <c r="P14" s="33" t="n">
        <f aca="false">IFERROR(I14/J14-1,"n.d.")</f>
        <v>0.217913441566442</v>
      </c>
      <c r="Q14" s="32" t="n">
        <f aca="false">IFERROR(I14-F14,"n.d.")</f>
        <v>-499.785</v>
      </c>
      <c r="R14" s="32" t="n">
        <f aca="false">IFERROR(I14-G14,"n.d.")</f>
        <v>-633.446</v>
      </c>
      <c r="S14" s="33" t="n">
        <f aca="false">IFERROR(F14/PIB_2016,"n.d.")</f>
        <v>-0.089772793794294</v>
      </c>
      <c r="T14" s="33" t="n">
        <f aca="false">IFERROR(G14/PIB_2019,"n.d.")</f>
        <v>-0.0580790894084839</v>
      </c>
      <c r="U14" s="33" t="n">
        <f aca="false">IFERROR(H14/PIB_2022,"n.d.")</f>
        <v>-0.0456760713340389</v>
      </c>
      <c r="V14" s="33" t="n">
        <f aca="false">IFERROR(I14/PIB_2025,"n.d.")</f>
        <v>-0.0834159826153116</v>
      </c>
      <c r="W14" s="30" t="s">
        <v>668</v>
      </c>
      <c r="X14" s="30" t="s">
        <v>669</v>
      </c>
      <c r="Y14" s="30" t="s">
        <v>668</v>
      </c>
      <c r="Z14" s="30" t="s">
        <v>661</v>
      </c>
      <c r="AA14" s="30" t="s">
        <v>50</v>
      </c>
      <c r="AB14" s="30" t="s">
        <v>670</v>
      </c>
    </row>
    <row r="15" customFormat="false" ht="22.35" hidden="false" customHeight="false" outlineLevel="0" collapsed="false">
      <c r="A15" s="30" t="s">
        <v>671</v>
      </c>
      <c r="B15" s="30" t="s">
        <v>672</v>
      </c>
      <c r="C15" s="30" t="s">
        <v>673</v>
      </c>
      <c r="D15" s="30" t="s">
        <v>185</v>
      </c>
      <c r="E15" s="30" t="s">
        <v>644</v>
      </c>
      <c r="F15" s="58" t="n">
        <v>0.0898</v>
      </c>
      <c r="G15" s="58" t="n">
        <v>0.0581</v>
      </c>
      <c r="H15" s="58" t="n">
        <v>0.0457</v>
      </c>
      <c r="I15" s="58" t="n">
        <v>0.0834</v>
      </c>
      <c r="J15" s="32" t="s">
        <v>133</v>
      </c>
      <c r="K15" s="32" t="s">
        <v>133</v>
      </c>
      <c r="L15" s="32" t="s">
        <v>133</v>
      </c>
      <c r="M15" s="53" t="n">
        <f aca="false">IFERROR((G15-F15)*100,"n.d.")</f>
        <v>-3.17</v>
      </c>
      <c r="N15" s="53" t="n">
        <f aca="false">IFERROR((H15-G15)*100,"n.d.")</f>
        <v>-1.24</v>
      </c>
      <c r="O15" s="53" t="n">
        <f aca="false">IFERROR((I15-H15)*100,"n.d.")</f>
        <v>3.77</v>
      </c>
      <c r="P15" s="53" t="n">
        <f aca="false">IFERROR((I15-F15)*100,"n.d.")</f>
        <v>-0.64</v>
      </c>
      <c r="Q15" s="53" t="n">
        <f aca="false">IFERROR((I15-F15)*100,"n.d.")</f>
        <v>-0.64</v>
      </c>
      <c r="R15" s="53" t="n">
        <f aca="false">IFERROR((I15-G15)*100,"n.d.")</f>
        <v>2.53</v>
      </c>
      <c r="S15" s="33" t="n">
        <f aca="false">IF(ISNUMBER(F15),F15,"n.d.")</f>
        <v>0.0898</v>
      </c>
      <c r="T15" s="33" t="n">
        <f aca="false">IF(ISNUMBER(G15),G15,"n.d.")</f>
        <v>0.0581</v>
      </c>
      <c r="U15" s="33" t="n">
        <f aca="false">IF(ISNUMBER(H15),H15,"n.d.")</f>
        <v>0.0457</v>
      </c>
      <c r="V15" s="33" t="n">
        <f aca="false">IF(ISNUMBER(I15),I15,"n.d.")</f>
        <v>0.0834</v>
      </c>
      <c r="W15" s="30" t="s">
        <v>178</v>
      </c>
      <c r="X15" s="30" t="s">
        <v>674</v>
      </c>
      <c r="Y15" s="30" t="s">
        <v>178</v>
      </c>
      <c r="Z15" s="30" t="s">
        <v>180</v>
      </c>
      <c r="AA15" s="30" t="s">
        <v>50</v>
      </c>
      <c r="AB15" s="30" t="s">
        <v>436</v>
      </c>
    </row>
    <row r="16" customFormat="false" ht="22.35" hidden="false" customHeight="false" outlineLevel="0" collapsed="false">
      <c r="A16" s="30" t="s">
        <v>213</v>
      </c>
      <c r="B16" s="30" t="s">
        <v>675</v>
      </c>
      <c r="C16" s="30" t="s">
        <v>215</v>
      </c>
      <c r="D16" s="30" t="s">
        <v>140</v>
      </c>
      <c r="E16" s="30" t="s">
        <v>106</v>
      </c>
      <c r="F16" s="55" t="n">
        <v>271.44</v>
      </c>
      <c r="G16" s="55" t="n">
        <v>275.69</v>
      </c>
      <c r="H16" s="55" t="n">
        <v>207.09</v>
      </c>
      <c r="I16" s="55" t="n">
        <v>353.98</v>
      </c>
      <c r="J16" s="32" t="n">
        <f aca="false">IFERROR(F16*FATOR_2016,"n.d.")</f>
        <v>420.786280042716</v>
      </c>
      <c r="K16" s="32" t="n">
        <f aca="false">IFERROR(G16*FATOR_2019,"n.d.")</f>
        <v>383.631036154316</v>
      </c>
      <c r="L16" s="32" t="n">
        <f aca="false">IFERROR(H16*FATOR_2022,"n.d.")</f>
        <v>236.812791620135</v>
      </c>
      <c r="M16" s="33" t="n">
        <f aca="false">IFERROR(K16/J16-1,"n.d.")</f>
        <v>-0.0882995612039166</v>
      </c>
      <c r="N16" s="33" t="n">
        <f aca="false">IFERROR(L16/K16-1,"n.d.")</f>
        <v>-0.382706899853439</v>
      </c>
      <c r="O16" s="33" t="n">
        <f aca="false">IFERROR(I16/L16-1,"n.d.")</f>
        <v>0.49476722764119</v>
      </c>
      <c r="P16" s="33" t="n">
        <f aca="false">IFERROR(I16/J16-1,"n.d.")</f>
        <v>-0.158765347662796</v>
      </c>
      <c r="Q16" s="32" t="n">
        <f aca="false">IFERROR(I16-F16,"n.d.")</f>
        <v>82.54</v>
      </c>
      <c r="R16" s="32" t="n">
        <f aca="false">IFERROR(I16-G16,"n.d.")</f>
        <v>78.29</v>
      </c>
      <c r="S16" s="33" t="n">
        <f aca="false">IFERROR(F16/PIB_2016,"n.d.")</f>
        <v>0.043296513325912</v>
      </c>
      <c r="T16" s="33" t="n">
        <f aca="false">IFERROR(G16/PIB_2019,"n.d.")</f>
        <v>0.0373102060309934</v>
      </c>
      <c r="U16" s="33" t="n">
        <f aca="false">IFERROR(H16/PIB_2022,"n.d.")</f>
        <v>0.0205453032418899</v>
      </c>
      <c r="V16" s="33" t="n">
        <f aca="false">IFERROR(I16/PIB_2025,"n.d.")</f>
        <v>0.0277880571486618</v>
      </c>
      <c r="W16" s="30" t="s">
        <v>147</v>
      </c>
      <c r="X16" s="30" t="s">
        <v>147</v>
      </c>
      <c r="Y16" s="30" t="s">
        <v>147</v>
      </c>
      <c r="Z16" s="30" t="s">
        <v>148</v>
      </c>
      <c r="AA16" s="30" t="s">
        <v>50</v>
      </c>
      <c r="AB16" s="30" t="s">
        <v>676</v>
      </c>
    </row>
    <row r="17" customFormat="false" ht="22.35" hidden="false" customHeight="false" outlineLevel="0" collapsed="false">
      <c r="A17" s="30" t="s">
        <v>217</v>
      </c>
      <c r="B17" s="30" t="s">
        <v>218</v>
      </c>
      <c r="C17" s="30" t="s">
        <v>219</v>
      </c>
      <c r="D17" s="30" t="s">
        <v>140</v>
      </c>
      <c r="E17" s="30" t="s">
        <v>106</v>
      </c>
      <c r="F17" s="55" t="n">
        <v>653.82</v>
      </c>
      <c r="G17" s="55" t="n">
        <v>476.78</v>
      </c>
      <c r="H17" s="55" t="n">
        <v>1425.07</v>
      </c>
      <c r="I17" s="55" t="n">
        <v>1417.64</v>
      </c>
      <c r="J17" s="32" t="n">
        <f aca="false">IFERROR(F17*FATOR_2016,"n.d.")</f>
        <v>1013.55174483322</v>
      </c>
      <c r="K17" s="32" t="n">
        <f aca="false">IFERROR(G17*FATOR_2019,"n.d.")</f>
        <v>663.453899008505</v>
      </c>
      <c r="L17" s="32" t="n">
        <f aca="false">IFERROR(H17*FATOR_2022,"n.d.")</f>
        <v>1629.60454369649</v>
      </c>
      <c r="M17" s="33" t="n">
        <f aca="false">IFERROR(K17/J17-1,"n.d.")</f>
        <v>-0.34541684488178</v>
      </c>
      <c r="N17" s="33" t="n">
        <f aca="false">IFERROR(L17/K17-1,"n.d.")</f>
        <v>1.45624382663489</v>
      </c>
      <c r="O17" s="33" t="n">
        <f aca="false">IFERROR(I17/L17-1,"n.d.")</f>
        <v>-0.130071154082378</v>
      </c>
      <c r="P17" s="33" t="n">
        <f aca="false">IFERROR(I17/J17-1,"n.d.")</f>
        <v>0.398685372726851</v>
      </c>
      <c r="Q17" s="32" t="n">
        <f aca="false">IFERROR(I17-F17,"n.d.")</f>
        <v>763.82</v>
      </c>
      <c r="R17" s="32" t="n">
        <f aca="false">IFERROR(I17-G17,"n.d.")</f>
        <v>940.86</v>
      </c>
      <c r="S17" s="33" t="n">
        <f aca="false">IFERROR(F17/PIB_2016,"n.d.")</f>
        <v>0.10428870594882</v>
      </c>
      <c r="T17" s="33" t="n">
        <f aca="false">IFERROR(G17/PIB_2019,"n.d.")</f>
        <v>0.064524502272324</v>
      </c>
      <c r="U17" s="33" t="n">
        <f aca="false">IFERROR(H17/PIB_2022,"n.d.")</f>
        <v>0.141380536437878</v>
      </c>
      <c r="V17" s="33" t="n">
        <f aca="false">IFERROR(I17/PIB_2025,"n.d.")</f>
        <v>0.111287251641982</v>
      </c>
      <c r="W17" s="30" t="s">
        <v>147</v>
      </c>
      <c r="X17" s="30" t="s">
        <v>147</v>
      </c>
      <c r="Y17" s="30" t="s">
        <v>147</v>
      </c>
      <c r="Z17" s="30" t="s">
        <v>148</v>
      </c>
      <c r="AA17" s="30" t="s">
        <v>50</v>
      </c>
      <c r="AB17" s="30" t="s">
        <v>677</v>
      </c>
    </row>
    <row r="18" customFormat="false" ht="15" hidden="false" customHeight="false" outlineLevel="0" collapsed="false">
      <c r="A18" s="30" t="s">
        <v>678</v>
      </c>
      <c r="B18" s="30" t="s">
        <v>679</v>
      </c>
      <c r="C18" s="30" t="s">
        <v>680</v>
      </c>
      <c r="D18" s="30" t="s">
        <v>140</v>
      </c>
      <c r="E18" s="30" t="s">
        <v>106</v>
      </c>
      <c r="F18" s="55" t="n">
        <v>766.75</v>
      </c>
      <c r="G18" s="55" t="n">
        <v>714.09</v>
      </c>
      <c r="H18" s="55" t="n">
        <v>1838.02</v>
      </c>
      <c r="I18" s="55" t="n">
        <v>1655.91</v>
      </c>
      <c r="J18" s="32" t="n">
        <f aca="false">IFERROR(F18*FATOR_2016,"n.d.")</f>
        <v>1188.61582752267</v>
      </c>
      <c r="K18" s="32" t="n">
        <f aca="false">IFERROR(G18*FATOR_2019,"n.d.")</f>
        <v>993.67799560171</v>
      </c>
      <c r="L18" s="32" t="n">
        <f aca="false">IFERROR(H18*FATOR_2022,"n.d.")</f>
        <v>2101.82359000261</v>
      </c>
      <c r="M18" s="33" t="n">
        <f aca="false">IFERROR(K18/J18-1,"n.d.")</f>
        <v>-0.164004068772371</v>
      </c>
      <c r="N18" s="33" t="n">
        <f aca="false">IFERROR(L18/K18-1,"n.d.")</f>
        <v>1.1151958675807</v>
      </c>
      <c r="O18" s="33" t="n">
        <f aca="false">IFERROR(I18/L18-1,"n.d.")</f>
        <v>-0.21215557391382</v>
      </c>
      <c r="P18" s="33" t="n">
        <f aca="false">IFERROR(I18/J18-1,"n.d.")</f>
        <v>0.393141468973432</v>
      </c>
      <c r="Q18" s="32" t="n">
        <f aca="false">IFERROR(I18-F18,"n.d.")</f>
        <v>889.16</v>
      </c>
      <c r="R18" s="32" t="n">
        <f aca="false">IFERROR(I18-G18,"n.d.")</f>
        <v>941.82</v>
      </c>
      <c r="S18" s="33" t="n">
        <f aca="false">IFERROR(F18/PIB_2016,"n.d.")</f>
        <v>0.122301803686424</v>
      </c>
      <c r="T18" s="33" t="n">
        <f aca="false">IFERROR(G18/PIB_2019,"n.d.")</f>
        <v>0.0966405927841853</v>
      </c>
      <c r="U18" s="33" t="n">
        <f aca="false">IFERROR(H18/PIB_2022,"n.d.")</f>
        <v>0.182349115189814</v>
      </c>
      <c r="V18" s="33" t="n">
        <f aca="false">IFERROR(I18/PIB_2025,"n.d.")</f>
        <v>0.129991868786487</v>
      </c>
      <c r="W18" s="30" t="s">
        <v>147</v>
      </c>
      <c r="X18" s="30" t="s">
        <v>148</v>
      </c>
      <c r="Y18" s="30" t="s">
        <v>147</v>
      </c>
      <c r="Z18" s="30" t="s">
        <v>148</v>
      </c>
      <c r="AA18" s="30" t="s">
        <v>50</v>
      </c>
      <c r="AB18" s="30" t="s">
        <v>628</v>
      </c>
    </row>
    <row r="19" customFormat="false" ht="15" hidden="false" customHeight="false" outlineLevel="0" collapsed="false">
      <c r="A19" s="30" t="s">
        <v>681</v>
      </c>
      <c r="B19" s="30" t="s">
        <v>682</v>
      </c>
      <c r="C19" s="30" t="s">
        <v>680</v>
      </c>
      <c r="D19" s="30" t="s">
        <v>140</v>
      </c>
      <c r="E19" s="30" t="s">
        <v>106</v>
      </c>
      <c r="F19" s="55" t="n">
        <v>304.1</v>
      </c>
      <c r="G19" s="55" t="n">
        <v>378.9</v>
      </c>
      <c r="H19" s="55" t="n">
        <v>351.42</v>
      </c>
      <c r="I19" s="55" t="n">
        <v>480.01</v>
      </c>
      <c r="J19" s="32" t="n">
        <f aca="false">IFERROR(F19*FATOR_2016,"n.d.")</f>
        <v>471.415811085286</v>
      </c>
      <c r="K19" s="32" t="n">
        <f aca="false">IFERROR(G19*FATOR_2019,"n.d.")</f>
        <v>527.250896292468</v>
      </c>
      <c r="L19" s="32" t="n">
        <f aca="false">IFERROR(H19*FATOR_2022,"n.d.")</f>
        <v>401.857893819826</v>
      </c>
      <c r="M19" s="33" t="n">
        <f aca="false">IFERROR(K19/J19-1,"n.d.")</f>
        <v>0.118441265426882</v>
      </c>
      <c r="N19" s="33" t="n">
        <f aca="false">IFERROR(L19/K19-1,"n.d.")</f>
        <v>-0.237824161806802</v>
      </c>
      <c r="O19" s="33" t="n">
        <f aca="false">IFERROR(I19/L19-1,"n.d.")</f>
        <v>0.19447697154162</v>
      </c>
      <c r="P19" s="33" t="n">
        <f aca="false">IFERROR(I19/J19-1,"n.d.")</f>
        <v>0.0182305911524872</v>
      </c>
      <c r="Q19" s="32" t="n">
        <f aca="false">IFERROR(I19-F19,"n.d.")</f>
        <v>175.91</v>
      </c>
      <c r="R19" s="32" t="n">
        <f aca="false">IFERROR(I19-G19,"n.d.")</f>
        <v>101.11</v>
      </c>
      <c r="S19" s="33" t="n">
        <f aca="false">IFERROR(F19/PIB_2016,"n.d.")</f>
        <v>0.0485060039139767</v>
      </c>
      <c r="T19" s="33" t="n">
        <f aca="false">IFERROR(G19/PIB_2019,"n.d.")</f>
        <v>0.0512780190255119</v>
      </c>
      <c r="U19" s="33" t="n">
        <f aca="false">IFERROR(H19/PIB_2022,"n.d.")</f>
        <v>0.0348642158736055</v>
      </c>
      <c r="V19" s="33" t="n">
        <f aca="false">IFERROR(I19/PIB_2025,"n.d.")</f>
        <v>0.0376816354368302</v>
      </c>
      <c r="W19" s="30" t="s">
        <v>147</v>
      </c>
      <c r="X19" s="30" t="s">
        <v>148</v>
      </c>
      <c r="Y19" s="30" t="s">
        <v>147</v>
      </c>
      <c r="Z19" s="30" t="s">
        <v>148</v>
      </c>
      <c r="AA19" s="30" t="s">
        <v>50</v>
      </c>
      <c r="AB19" s="30" t="s">
        <v>436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4" t="s">
        <v>457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683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684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685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461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19" t="s">
        <v>462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19" t="s">
        <v>463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19" t="s">
        <v>464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19" t="s">
        <v>465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5" hidden="false" customHeight="false" outlineLevel="0" collapsed="false">
      <c r="A30" s="19" t="s">
        <v>466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</sheetData>
  <autoFilter ref="A3:AB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686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687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22.35" hidden="false" customHeight="false" outlineLevel="0" collapsed="false">
      <c r="A4" s="30" t="s">
        <v>688</v>
      </c>
      <c r="B4" s="30" t="s">
        <v>689</v>
      </c>
      <c r="C4" s="30" t="s">
        <v>690</v>
      </c>
      <c r="D4" s="30" t="s">
        <v>140</v>
      </c>
      <c r="E4" s="30" t="s">
        <v>106</v>
      </c>
      <c r="F4" s="55" t="n">
        <v>2141.17</v>
      </c>
      <c r="G4" s="55" t="n">
        <v>2504.68</v>
      </c>
      <c r="H4" s="55" t="n">
        <v>2854.31</v>
      </c>
      <c r="I4" s="55" t="n">
        <v>4028.7</v>
      </c>
      <c r="J4" s="32" t="n">
        <f aca="false">IFERROR(F4*FATOR_2016,"n.d.")</f>
        <v>3319.24167123144</v>
      </c>
      <c r="K4" s="32" t="n">
        <f aca="false">IFERROR(G4*FATOR_2019,"n.d.")</f>
        <v>3485.33854559466</v>
      </c>
      <c r="L4" s="32" t="n">
        <f aca="false">IFERROR(H4*FATOR_2022,"n.d.")</f>
        <v>3263.97759065753</v>
      </c>
      <c r="M4" s="33" t="n">
        <f aca="false">IFERROR(K4/J4-1,"n.d.")</f>
        <v>0.050040608914625</v>
      </c>
      <c r="N4" s="33" t="n">
        <f aca="false">IFERROR(L4/K4-1,"n.d.")</f>
        <v>-0.0635120382256481</v>
      </c>
      <c r="O4" s="33" t="n">
        <f aca="false">IFERROR(I4/L4-1,"n.d.")</f>
        <v>0.234291562396548</v>
      </c>
      <c r="P4" s="33" t="n">
        <f aca="false">IFERROR(I4/J4-1,"n.d.")</f>
        <v>0.213741088790726</v>
      </c>
      <c r="Q4" s="32" t="n">
        <f aca="false">IFERROR(I4-F4,"n.d.")</f>
        <v>1887.53</v>
      </c>
      <c r="R4" s="32" t="n">
        <f aca="false">IFERROR(I4-G4,"n.d.")</f>
        <v>1524.02</v>
      </c>
      <c r="S4" s="33" t="n">
        <f aca="false">IFERROR(F4/PIB_2016,"n.d.")</f>
        <v>0.341531076621143</v>
      </c>
      <c r="T4" s="33" t="n">
        <f aca="false">IFERROR(G4/PIB_2019,"n.d.")</f>
        <v>0.338968141179254</v>
      </c>
      <c r="U4" s="33" t="n">
        <f aca="false">IFERROR(H4/PIB_2022,"n.d.")</f>
        <v>0.283174776649567</v>
      </c>
      <c r="V4" s="33" t="n">
        <f aca="false">IFERROR(I4/PIB_2025,"n.d.")</f>
        <v>0.316260087673919</v>
      </c>
      <c r="W4" s="30" t="s">
        <v>147</v>
      </c>
      <c r="X4" s="30" t="s">
        <v>147</v>
      </c>
      <c r="Y4" s="30" t="s">
        <v>147</v>
      </c>
      <c r="Z4" s="30" t="s">
        <v>147</v>
      </c>
      <c r="AA4" s="30" t="s">
        <v>50</v>
      </c>
      <c r="AB4" s="30" t="s">
        <v>691</v>
      </c>
    </row>
    <row r="5" customFormat="false" ht="22.35" hidden="false" customHeight="false" outlineLevel="0" collapsed="false">
      <c r="A5" s="30" t="s">
        <v>688</v>
      </c>
      <c r="B5" s="30" t="s">
        <v>689</v>
      </c>
      <c r="C5" s="30" t="s">
        <v>692</v>
      </c>
      <c r="D5" s="30" t="s">
        <v>140</v>
      </c>
      <c r="E5" s="30" t="s">
        <v>106</v>
      </c>
      <c r="F5" s="55" t="n">
        <v>2188.92</v>
      </c>
      <c r="G5" s="55" t="n">
        <v>2556.5</v>
      </c>
      <c r="H5" s="55" t="n">
        <v>3067.02</v>
      </c>
      <c r="I5" s="55" t="n">
        <v>4144.73</v>
      </c>
      <c r="J5" s="32" t="n">
        <f aca="false">IFERROR(F5*FATOR_2016,"n.d.")</f>
        <v>3393.26371983165</v>
      </c>
      <c r="K5" s="32" t="n">
        <f aca="false">IFERROR(G5*FATOR_2019,"n.d.")</f>
        <v>3557.44765471547</v>
      </c>
      <c r="L5" s="32" t="n">
        <f aca="false">IFERROR(H5*FATOR_2022,"n.d.")</f>
        <v>3507.21699818816</v>
      </c>
      <c r="M5" s="33" t="n">
        <f aca="false">IFERROR(K5/J5-1,"n.d.")</f>
        <v>0.048385256331321</v>
      </c>
      <c r="N5" s="33" t="n">
        <f aca="false">IFERROR(L5/K5-1,"n.d.")</f>
        <v>-0.0141198582249635</v>
      </c>
      <c r="O5" s="33" t="n">
        <f aca="false">IFERROR(I5/L5-1,"n.d.")</f>
        <v>0.181771758673951</v>
      </c>
      <c r="P5" s="33" t="n">
        <f aca="false">IFERROR(I5/J5-1,"n.d.")</f>
        <v>0.221458260310411</v>
      </c>
      <c r="Q5" s="32" t="n">
        <f aca="false">IFERROR(I5-F5,"n.d.")</f>
        <v>1955.81</v>
      </c>
      <c r="R5" s="32" t="n">
        <f aca="false">IFERROR(I5-G5,"n.d.")</f>
        <v>1588.23</v>
      </c>
      <c r="S5" s="33" t="n">
        <f aca="false">IFERROR(F5/PIB_2016,"n.d.")</f>
        <v>0.349147524128188</v>
      </c>
      <c r="T5" s="33" t="n">
        <f aca="false">IFERROR(G5/PIB_2019,"n.d.")</f>
        <v>0.345981144467462</v>
      </c>
      <c r="U5" s="33" t="n">
        <f aca="false">IFERROR(H5/PIB_2022,"n.d.")</f>
        <v>0.304277637495491</v>
      </c>
      <c r="V5" s="33" t="n">
        <f aca="false">IFERROR(I5/PIB_2025,"n.d.")</f>
        <v>0.325368648245022</v>
      </c>
      <c r="W5" s="30" t="s">
        <v>147</v>
      </c>
      <c r="X5" s="30" t="s">
        <v>147</v>
      </c>
      <c r="Y5" s="30" t="s">
        <v>147</v>
      </c>
      <c r="Z5" s="30" t="s">
        <v>147</v>
      </c>
      <c r="AA5" s="30" t="s">
        <v>50</v>
      </c>
      <c r="AB5" s="30" t="s">
        <v>436</v>
      </c>
    </row>
    <row r="6" customFormat="false" ht="22.35" hidden="false" customHeight="false" outlineLevel="0" collapsed="false">
      <c r="A6" s="30" t="s">
        <v>688</v>
      </c>
      <c r="B6" s="30" t="s">
        <v>689</v>
      </c>
      <c r="C6" s="30" t="s">
        <v>693</v>
      </c>
      <c r="D6" s="30" t="s">
        <v>140</v>
      </c>
      <c r="E6" s="30" t="s">
        <v>106</v>
      </c>
      <c r="F6" s="55" t="n">
        <v>1961.59</v>
      </c>
      <c r="G6" s="55" t="n">
        <v>2331.13</v>
      </c>
      <c r="H6" s="55" t="n">
        <v>2793.73</v>
      </c>
      <c r="I6" s="55" t="n">
        <v>3901.65</v>
      </c>
      <c r="J6" s="32" t="n">
        <f aca="false">IFERROR(F6*FATOR_2016,"n.d.")</f>
        <v>3040.85676049584</v>
      </c>
      <c r="K6" s="32" t="n">
        <f aca="false">IFERROR(G6*FATOR_2019,"n.d.")</f>
        <v>3243.83843197218</v>
      </c>
      <c r="L6" s="32" t="n">
        <f aca="false">IFERROR(H6*FATOR_2022,"n.d.")</f>
        <v>3194.70278783582</v>
      </c>
      <c r="M6" s="33" t="n">
        <f aca="false">IFERROR(K6/J6-1,"n.d.")</f>
        <v>0.0667514741612625</v>
      </c>
      <c r="N6" s="33" t="n">
        <f aca="false">IFERROR(L6/K6-1,"n.d.")</f>
        <v>-0.0151473771480317</v>
      </c>
      <c r="O6" s="33" t="n">
        <f aca="false">IFERROR(I6/L6-1,"n.d.")</f>
        <v>0.221287318136748</v>
      </c>
      <c r="P6" s="33" t="n">
        <f aca="false">IFERROR(I6/J6-1,"n.d.")</f>
        <v>0.283075891862725</v>
      </c>
      <c r="Q6" s="32" t="n">
        <f aca="false">IFERROR(I6-F6,"n.d.")</f>
        <v>1940.06</v>
      </c>
      <c r="R6" s="32" t="n">
        <f aca="false">IFERROR(I6-G6,"n.d.")</f>
        <v>1570.52</v>
      </c>
      <c r="S6" s="33" t="n">
        <f aca="false">IFERROR(F6/PIB_2016,"n.d.")</f>
        <v>0.312886853724491</v>
      </c>
      <c r="T6" s="33" t="n">
        <f aca="false">IFERROR(G6/PIB_2019,"n.d.")</f>
        <v>0.315480940857592</v>
      </c>
      <c r="U6" s="33" t="n">
        <f aca="false">IFERROR(H6/PIB_2022,"n.d.")</f>
        <v>0.277164662832417</v>
      </c>
      <c r="V6" s="33" t="n">
        <f aca="false">IFERROR(I6/PIB_2025,"n.d.")</f>
        <v>0.30628643757861</v>
      </c>
      <c r="W6" s="30" t="s">
        <v>147</v>
      </c>
      <c r="X6" s="30" t="s">
        <v>147</v>
      </c>
      <c r="Y6" s="30" t="s">
        <v>147</v>
      </c>
      <c r="Z6" s="30" t="s">
        <v>147</v>
      </c>
      <c r="AA6" s="30" t="s">
        <v>50</v>
      </c>
      <c r="AB6" s="30" t="s">
        <v>436</v>
      </c>
    </row>
    <row r="7" customFormat="false" ht="22.35" hidden="false" customHeight="false" outlineLevel="0" collapsed="false">
      <c r="A7" s="30" t="s">
        <v>688</v>
      </c>
      <c r="B7" s="30" t="s">
        <v>689</v>
      </c>
      <c r="C7" s="30" t="s">
        <v>694</v>
      </c>
      <c r="D7" s="30" t="s">
        <v>140</v>
      </c>
      <c r="E7" s="30" t="s">
        <v>106</v>
      </c>
      <c r="F7" s="55" t="n">
        <v>1892.46</v>
      </c>
      <c r="G7" s="55" t="n">
        <v>2255.45</v>
      </c>
      <c r="H7" s="55" t="n">
        <v>2675.76</v>
      </c>
      <c r="I7" s="55" t="n">
        <v>3705.42</v>
      </c>
      <c r="J7" s="32" t="n">
        <f aca="false">IFERROR(F7*FATOR_2016,"n.d.")</f>
        <v>2933.69143652239</v>
      </c>
      <c r="K7" s="32" t="n">
        <f aca="false">IFERROR(G7*FATOR_2019,"n.d.")</f>
        <v>3138.52740576101</v>
      </c>
      <c r="L7" s="32" t="n">
        <f aca="false">IFERROR(H7*FATOR_2022,"n.d.")</f>
        <v>3059.80103001348</v>
      </c>
      <c r="M7" s="33" t="n">
        <f aca="false">IFERROR(K7/J7-1,"n.d.")</f>
        <v>0.0698219201544337</v>
      </c>
      <c r="N7" s="33" t="n">
        <f aca="false">IFERROR(L7/K7-1,"n.d.")</f>
        <v>-0.0250838579911759</v>
      </c>
      <c r="O7" s="33" t="n">
        <f aca="false">IFERROR(I7/L7-1,"n.d.")</f>
        <v>0.211000311344973</v>
      </c>
      <c r="P7" s="33" t="n">
        <f aca="false">IFERROR(I7/J7-1,"n.d.")</f>
        <v>0.263057168818141</v>
      </c>
      <c r="Q7" s="32" t="n">
        <f aca="false">IFERROR(I7-F7,"n.d.")</f>
        <v>1812.96</v>
      </c>
      <c r="R7" s="32" t="n">
        <f aca="false">IFERROR(I7-G7,"n.d.")</f>
        <v>1449.97</v>
      </c>
      <c r="S7" s="33" t="n">
        <f aca="false">IFERROR(F7/PIB_2016,"n.d.")</f>
        <v>0.301860151815338</v>
      </c>
      <c r="T7" s="33" t="n">
        <f aca="false">IFERROR(G7/PIB_2019,"n.d.")</f>
        <v>0.305238870443629</v>
      </c>
      <c r="U7" s="33" t="n">
        <f aca="false">IFERROR(H7/PIB_2022,"n.d.")</f>
        <v>0.265460913624605</v>
      </c>
      <c r="V7" s="33" t="n">
        <f aca="false">IFERROR(I7/PIB_2025,"n.d.")</f>
        <v>0.290882034916646</v>
      </c>
      <c r="W7" s="30" t="s">
        <v>147</v>
      </c>
      <c r="X7" s="30" t="s">
        <v>147</v>
      </c>
      <c r="Y7" s="30" t="s">
        <v>147</v>
      </c>
      <c r="Z7" s="30" t="s">
        <v>147</v>
      </c>
      <c r="AA7" s="30" t="s">
        <v>50</v>
      </c>
      <c r="AB7" s="30" t="s">
        <v>436</v>
      </c>
    </row>
    <row r="8" customFormat="false" ht="22.35" hidden="false" customHeight="false" outlineLevel="0" collapsed="false">
      <c r="A8" s="30" t="s">
        <v>688</v>
      </c>
      <c r="B8" s="30" t="s">
        <v>689</v>
      </c>
      <c r="C8" s="30" t="s">
        <v>695</v>
      </c>
      <c r="D8" s="30" t="s">
        <v>140</v>
      </c>
      <c r="E8" s="30" t="s">
        <v>106</v>
      </c>
      <c r="F8" s="55" t="n">
        <v>1875.18</v>
      </c>
      <c r="G8" s="55" t="n">
        <v>2198.25</v>
      </c>
      <c r="H8" s="55" t="n">
        <v>2603.83</v>
      </c>
      <c r="I8" s="55" t="n">
        <v>3606.51</v>
      </c>
      <c r="J8" s="32" t="n">
        <f aca="false">IFERROR(F8*FATOR_2016,"n.d.")</f>
        <v>2906.90398102896</v>
      </c>
      <c r="K8" s="32" t="n">
        <f aca="false">IFERROR(G8*FATOR_2019,"n.d.")</f>
        <v>3058.93186269442</v>
      </c>
      <c r="L8" s="32" t="n">
        <f aca="false">IFERROR(H8*FATOR_2022,"n.d.")</f>
        <v>2977.54720751488</v>
      </c>
      <c r="M8" s="33" t="n">
        <f aca="false">IFERROR(K8/J8-1,"n.d.")</f>
        <v>0.0522989003619065</v>
      </c>
      <c r="N8" s="33" t="n">
        <f aca="false">IFERROR(L8/K8-1,"n.d.")</f>
        <v>-0.0266055796051164</v>
      </c>
      <c r="O8" s="33" t="n">
        <f aca="false">IFERROR(I8/L8-1,"n.d.")</f>
        <v>0.21123520423042</v>
      </c>
      <c r="P8" s="33" t="n">
        <f aca="false">IFERROR(I8/J8-1,"n.d.")</f>
        <v>0.240670494635121</v>
      </c>
      <c r="Q8" s="32" t="n">
        <f aca="false">IFERROR(I8-F8,"n.d.")</f>
        <v>1731.33</v>
      </c>
      <c r="R8" s="32" t="n">
        <f aca="false">IFERROR(I8-G8,"n.d.")</f>
        <v>1408.26</v>
      </c>
      <c r="S8" s="33" t="n">
        <f aca="false">IFERROR(F8/PIB_2016,"n.d.")</f>
        <v>0.299103875104936</v>
      </c>
      <c r="T8" s="33" t="n">
        <f aca="false">IFERROR(G8/PIB_2019,"n.d.")</f>
        <v>0.297497770712145</v>
      </c>
      <c r="U8" s="33" t="n">
        <f aca="false">IFERROR(H8/PIB_2022,"n.d.")</f>
        <v>0.258324771550197</v>
      </c>
      <c r="V8" s="33" t="n">
        <f aca="false">IFERROR(I8/PIB_2025,"n.d.")</f>
        <v>0.283117424677158</v>
      </c>
      <c r="W8" s="30" t="s">
        <v>147</v>
      </c>
      <c r="X8" s="30" t="s">
        <v>147</v>
      </c>
      <c r="Y8" s="30" t="s">
        <v>147</v>
      </c>
      <c r="Z8" s="30" t="s">
        <v>147</v>
      </c>
      <c r="AA8" s="30" t="s">
        <v>50</v>
      </c>
      <c r="AB8" s="30" t="s">
        <v>696</v>
      </c>
    </row>
    <row r="9" customFormat="false" ht="15" hidden="false" customHeight="false" outlineLevel="0" collapsed="false">
      <c r="A9" s="30" t="s">
        <v>697</v>
      </c>
      <c r="B9" s="30" t="s">
        <v>698</v>
      </c>
      <c r="C9" s="30" t="s">
        <v>690</v>
      </c>
      <c r="D9" s="30" t="s">
        <v>140</v>
      </c>
      <c r="E9" s="30" t="s">
        <v>106</v>
      </c>
      <c r="F9" s="55" t="n">
        <v>45.31</v>
      </c>
      <c r="G9" s="55" t="n">
        <v>36.12</v>
      </c>
      <c r="H9" s="55" t="n">
        <v>42.36</v>
      </c>
      <c r="I9" s="55" t="n">
        <v>80.28</v>
      </c>
      <c r="J9" s="32" t="n">
        <f aca="false">IFERROR(F9*FATOR_2016,"n.d.")</f>
        <v>70.239560671734</v>
      </c>
      <c r="K9" s="32" t="n">
        <f aca="false">IFERROR(G9*FATOR_2019,"n.d.")</f>
        <v>50.2620806916968</v>
      </c>
      <c r="L9" s="32" t="n">
        <f aca="false">IFERROR(H9*FATOR_2022,"n.d.")</f>
        <v>48.4397597809113</v>
      </c>
      <c r="M9" s="33" t="n">
        <f aca="false">IFERROR(K9/J9-1,"n.d.")</f>
        <v>-0.28441920463316</v>
      </c>
      <c r="N9" s="33" t="n">
        <f aca="false">IFERROR(L9/K9-1,"n.d.")</f>
        <v>-0.0362563762921689</v>
      </c>
      <c r="O9" s="33" t="n">
        <f aca="false">IFERROR(I9/L9-1,"n.d.")</f>
        <v>0.657316228715817</v>
      </c>
      <c r="P9" s="33" t="n">
        <f aca="false">IFERROR(I9/J9-1,"n.d.")</f>
        <v>0.142945645334973</v>
      </c>
      <c r="Q9" s="32" t="n">
        <f aca="false">IFERROR(I9-F9,"n.d.")</f>
        <v>34.97</v>
      </c>
      <c r="R9" s="32" t="n">
        <f aca="false">IFERROR(I9-G9,"n.d.")</f>
        <v>44.16</v>
      </c>
      <c r="S9" s="33" t="n">
        <f aca="false">IFERROR(F9/PIB_2016,"n.d.")</f>
        <v>0.00722725102710387</v>
      </c>
      <c r="T9" s="33" t="n">
        <f aca="false">IFERROR(G9/PIB_2019,"n.d.")</f>
        <v>0.00488826087939164</v>
      </c>
      <c r="U9" s="33" t="n">
        <f aca="false">IFERROR(H9/PIB_2022,"n.d.")</f>
        <v>0.00420251603325345</v>
      </c>
      <c r="V9" s="33" t="n">
        <f aca="false">IFERROR(I9/PIB_2025,"n.d.")</f>
        <v>0.00630212223259667</v>
      </c>
      <c r="W9" s="30" t="s">
        <v>147</v>
      </c>
      <c r="X9" s="30" t="s">
        <v>147</v>
      </c>
      <c r="Y9" s="30" t="s">
        <v>147</v>
      </c>
      <c r="Z9" s="30" t="s">
        <v>147</v>
      </c>
      <c r="AA9" s="30" t="s">
        <v>50</v>
      </c>
      <c r="AB9" s="30" t="s">
        <v>691</v>
      </c>
    </row>
    <row r="10" customFormat="false" ht="15" hidden="false" customHeight="false" outlineLevel="0" collapsed="false">
      <c r="A10" s="30" t="s">
        <v>697</v>
      </c>
      <c r="B10" s="30" t="s">
        <v>698</v>
      </c>
      <c r="C10" s="30" t="s">
        <v>692</v>
      </c>
      <c r="D10" s="30" t="s">
        <v>140</v>
      </c>
      <c r="E10" s="30" t="s">
        <v>106</v>
      </c>
      <c r="F10" s="55" t="n">
        <v>47.21</v>
      </c>
      <c r="G10" s="55" t="n">
        <v>45.44</v>
      </c>
      <c r="H10" s="55" t="n">
        <v>52.07</v>
      </c>
      <c r="I10" s="55" t="n">
        <v>74.36</v>
      </c>
      <c r="J10" s="32" t="n">
        <f aca="false">IFERROR(F10*FATOR_2016,"n.d.")</f>
        <v>73.1849406160354</v>
      </c>
      <c r="K10" s="32" t="n">
        <f aca="false">IFERROR(G10*FATOR_2019,"n.d.")</f>
        <v>63.2311447018467</v>
      </c>
      <c r="L10" s="32" t="n">
        <f aca="false">IFERROR(H10*FATOR_2022,"n.d.")</f>
        <v>59.5433968789436</v>
      </c>
      <c r="M10" s="33" t="n">
        <f aca="false">IFERROR(K10/J10-1,"n.d.")</f>
        <v>-0.136008799493481</v>
      </c>
      <c r="N10" s="33" t="n">
        <f aca="false">IFERROR(L10/K10-1,"n.d.")</f>
        <v>-0.058321699540502</v>
      </c>
      <c r="O10" s="33" t="n">
        <f aca="false">IFERROR(I10/L10-1,"n.d.")</f>
        <v>0.248837048231892</v>
      </c>
      <c r="P10" s="33" t="n">
        <f aca="false">IFERROR(I10/J10-1,"n.d.")</f>
        <v>0.0160560270196788</v>
      </c>
      <c r="Q10" s="32" t="n">
        <f aca="false">IFERROR(I10-F10,"n.d.")</f>
        <v>27.15</v>
      </c>
      <c r="R10" s="32" t="n">
        <f aca="false">IFERROR(I10-G10,"n.d.")</f>
        <v>28.92</v>
      </c>
      <c r="S10" s="33" t="n">
        <f aca="false">IFERROR(F10/PIB_2016,"n.d.")</f>
        <v>0.00753031385984492</v>
      </c>
      <c r="T10" s="33" t="n">
        <f aca="false">IFERROR(G10/PIB_2019,"n.d.")</f>
        <v>0.00614957293354252</v>
      </c>
      <c r="U10" s="33" t="n">
        <f aca="false">IFERROR(H10/PIB_2022,"n.d.")</f>
        <v>0.00516584064805258</v>
      </c>
      <c r="V10" s="33" t="n">
        <f aca="false">IFERROR(I10/PIB_2025,"n.d.")</f>
        <v>0.00583739174409427</v>
      </c>
      <c r="W10" s="30" t="s">
        <v>147</v>
      </c>
      <c r="X10" s="30" t="s">
        <v>147</v>
      </c>
      <c r="Y10" s="30" t="s">
        <v>147</v>
      </c>
      <c r="Z10" s="30" t="s">
        <v>147</v>
      </c>
      <c r="AA10" s="30" t="s">
        <v>50</v>
      </c>
      <c r="AB10" s="30" t="s">
        <v>436</v>
      </c>
    </row>
    <row r="11" customFormat="false" ht="15" hidden="false" customHeight="false" outlineLevel="0" collapsed="false">
      <c r="A11" s="30" t="s">
        <v>697</v>
      </c>
      <c r="B11" s="30" t="s">
        <v>698</v>
      </c>
      <c r="C11" s="30" t="s">
        <v>693</v>
      </c>
      <c r="D11" s="30" t="s">
        <v>140</v>
      </c>
      <c r="E11" s="30" t="s">
        <v>106</v>
      </c>
      <c r="F11" s="55" t="n">
        <v>38.08</v>
      </c>
      <c r="G11" s="55" t="n">
        <v>42.44</v>
      </c>
      <c r="H11" s="55" t="n">
        <v>51.19</v>
      </c>
      <c r="I11" s="55" t="n">
        <v>72.11</v>
      </c>
      <c r="J11" s="32" t="n">
        <f aca="false">IFERROR(F11*FATOR_2016,"n.d.")</f>
        <v>59.031614883682</v>
      </c>
      <c r="K11" s="32" t="n">
        <f aca="false">IFERROR(G11*FATOR_2019,"n.d.")</f>
        <v>59.0565532822706</v>
      </c>
      <c r="L11" s="32" t="n">
        <f aca="false">IFERROR(H11*FATOR_2022,"n.d.")</f>
        <v>58.5370940317481</v>
      </c>
      <c r="M11" s="33" t="n">
        <f aca="false">IFERROR(K11/J11-1,"n.d.")</f>
        <v>0.000422458349440991</v>
      </c>
      <c r="N11" s="33" t="n">
        <f aca="false">IFERROR(L11/K11-1,"n.d.")</f>
        <v>-0.00879596288052298</v>
      </c>
      <c r="O11" s="33" t="n">
        <f aca="false">IFERROR(I11/L11-1,"n.d.")</f>
        <v>0.231868462088168</v>
      </c>
      <c r="P11" s="33" t="n">
        <f aca="false">IFERROR(I11/J11-1,"n.d.")</f>
        <v>0.221548828404714</v>
      </c>
      <c r="Q11" s="32" t="n">
        <f aca="false">IFERROR(I11-F11,"n.d.")</f>
        <v>34.03</v>
      </c>
      <c r="R11" s="32" t="n">
        <f aca="false">IFERROR(I11-G11,"n.d.")</f>
        <v>29.67</v>
      </c>
      <c r="S11" s="33" t="n">
        <f aca="false">IFERROR(F11/PIB_2016,"n.d.")</f>
        <v>0.0060740171951471</v>
      </c>
      <c r="T11" s="33" t="n">
        <f aca="false">IFERROR(G11/PIB_2019,"n.d.")</f>
        <v>0.00574357119937378</v>
      </c>
      <c r="U11" s="33" t="n">
        <f aca="false">IFERROR(H11/PIB_2022,"n.d.")</f>
        <v>0.00507853625453834</v>
      </c>
      <c r="V11" s="33" t="n">
        <f aca="false">IFERROR(I11/PIB_2025,"n.d.")</f>
        <v>0.00566076275775468</v>
      </c>
      <c r="W11" s="30" t="s">
        <v>147</v>
      </c>
      <c r="X11" s="30" t="s">
        <v>147</v>
      </c>
      <c r="Y11" s="30" t="s">
        <v>147</v>
      </c>
      <c r="Z11" s="30" t="s">
        <v>147</v>
      </c>
      <c r="AA11" s="30" t="s">
        <v>50</v>
      </c>
      <c r="AB11" s="30" t="s">
        <v>436</v>
      </c>
    </row>
    <row r="12" customFormat="false" ht="15" hidden="false" customHeight="false" outlineLevel="0" collapsed="false">
      <c r="A12" s="30" t="s">
        <v>697</v>
      </c>
      <c r="B12" s="30" t="s">
        <v>698</v>
      </c>
      <c r="C12" s="30" t="s">
        <v>694</v>
      </c>
      <c r="D12" s="30" t="s">
        <v>140</v>
      </c>
      <c r="E12" s="30" t="s">
        <v>106</v>
      </c>
      <c r="F12" s="55" t="n">
        <v>17.28</v>
      </c>
      <c r="G12" s="55" t="n">
        <v>16.61</v>
      </c>
      <c r="H12" s="55" t="n">
        <v>19.99</v>
      </c>
      <c r="I12" s="55" t="n">
        <v>38.62</v>
      </c>
      <c r="J12" s="32" t="n">
        <f aca="false">IFERROR(F12*FATOR_2016,"n.d.")</f>
        <v>26.7874554934355</v>
      </c>
      <c r="K12" s="32" t="n">
        <f aca="false">IFERROR(G12*FATOR_2019,"n.d.")</f>
        <v>23.1133211597199</v>
      </c>
      <c r="L12" s="32" t="n">
        <f aca="false">IFERROR(H12*FATOR_2022,"n.d.")</f>
        <v>22.8590839948163</v>
      </c>
      <c r="M12" s="33" t="n">
        <f aca="false">IFERROR(K12/J12-1,"n.d.")</f>
        <v>-0.137158765774374</v>
      </c>
      <c r="N12" s="33" t="n">
        <f aca="false">IFERROR(L12/K12-1,"n.d.")</f>
        <v>-0.0109995946989541</v>
      </c>
      <c r="O12" s="33" t="n">
        <f aca="false">IFERROR(I12/L12-1,"n.d.")</f>
        <v>0.68948152116497</v>
      </c>
      <c r="P12" s="33" t="n">
        <f aca="false">IFERROR(I12/J12-1,"n.d.")</f>
        <v>0.441719614222565</v>
      </c>
      <c r="Q12" s="32" t="n">
        <f aca="false">IFERROR(I12-F12,"n.d.")</f>
        <v>21.34</v>
      </c>
      <c r="R12" s="32" t="n">
        <f aca="false">IFERROR(I12-G12,"n.d.")</f>
        <v>22.01</v>
      </c>
      <c r="S12" s="33" t="n">
        <f aca="false">IFERROR(F12/PIB_2016,"n.d.")</f>
        <v>0.00275627671040289</v>
      </c>
      <c r="T12" s="33" t="n">
        <f aca="false">IFERROR(G12/PIB_2019,"n.d.")</f>
        <v>0.00224789626818093</v>
      </c>
      <c r="U12" s="33" t="n">
        <f aca="false">IFERROR(H12/PIB_2022,"n.d.")</f>
        <v>0.00198319866630634</v>
      </c>
      <c r="V12" s="33" t="n">
        <f aca="false">IFERROR(I12/PIB_2025,"n.d.")</f>
        <v>0.00303173842330448</v>
      </c>
      <c r="W12" s="30" t="s">
        <v>147</v>
      </c>
      <c r="X12" s="30" t="s">
        <v>147</v>
      </c>
      <c r="Y12" s="30" t="s">
        <v>147</v>
      </c>
      <c r="Z12" s="30" t="s">
        <v>147</v>
      </c>
      <c r="AA12" s="30" t="s">
        <v>50</v>
      </c>
      <c r="AB12" s="30" t="s">
        <v>436</v>
      </c>
    </row>
    <row r="13" customFormat="false" ht="15" hidden="false" customHeight="false" outlineLevel="0" collapsed="false">
      <c r="A13" s="30" t="s">
        <v>697</v>
      </c>
      <c r="B13" s="30" t="s">
        <v>698</v>
      </c>
      <c r="C13" s="30" t="s">
        <v>695</v>
      </c>
      <c r="D13" s="30" t="s">
        <v>140</v>
      </c>
      <c r="E13" s="30" t="s">
        <v>106</v>
      </c>
      <c r="F13" s="55" t="n">
        <v>16.8</v>
      </c>
      <c r="G13" s="55" t="n">
        <v>16.37</v>
      </c>
      <c r="H13" s="55" t="n">
        <v>19.59</v>
      </c>
      <c r="I13" s="55" t="n">
        <v>37.81</v>
      </c>
      <c r="J13" s="32" t="n">
        <f aca="false">IFERROR(F13*FATOR_2016,"n.d.")</f>
        <v>26.0433595075068</v>
      </c>
      <c r="K13" s="32" t="n">
        <f aca="false">IFERROR(G13*FATOR_2019,"n.d.")</f>
        <v>22.7793538461538</v>
      </c>
      <c r="L13" s="32" t="n">
        <f aca="false">IFERROR(H13*FATOR_2022,"n.d.")</f>
        <v>22.4016736097274</v>
      </c>
      <c r="M13" s="33" t="n">
        <f aca="false">IFERROR(K13/J13-1,"n.d.")</f>
        <v>-0.12532967032967</v>
      </c>
      <c r="N13" s="33" t="n">
        <f aca="false">IFERROR(L13/K13-1,"n.d.")</f>
        <v>-0.0165799363308203</v>
      </c>
      <c r="O13" s="33" t="n">
        <f aca="false">IFERROR(I13/L13-1,"n.d.")</f>
        <v>0.687820323548591</v>
      </c>
      <c r="P13" s="33" t="n">
        <f aca="false">IFERROR(I13/J13-1,"n.d.")</f>
        <v>0.451809624987192</v>
      </c>
      <c r="Q13" s="32" t="n">
        <f aca="false">IFERROR(I13-F13,"n.d.")</f>
        <v>21.01</v>
      </c>
      <c r="R13" s="32" t="n">
        <f aca="false">IFERROR(I13-G13,"n.d.")</f>
        <v>21.44</v>
      </c>
      <c r="S13" s="33" t="n">
        <f aca="false">IFERROR(F13/PIB_2016,"n.d.")</f>
        <v>0.00267971346844725</v>
      </c>
      <c r="T13" s="33" t="n">
        <f aca="false">IFERROR(G13/PIB_2019,"n.d.")</f>
        <v>0.00221541612944743</v>
      </c>
      <c r="U13" s="33" t="n">
        <f aca="false">IFERROR(H13/PIB_2022,"n.d.")</f>
        <v>0.00194351485107259</v>
      </c>
      <c r="V13" s="33" t="n">
        <f aca="false">IFERROR(I13/PIB_2025,"n.d.")</f>
        <v>0.00296815198822222</v>
      </c>
      <c r="W13" s="30" t="s">
        <v>147</v>
      </c>
      <c r="X13" s="30" t="s">
        <v>147</v>
      </c>
      <c r="Y13" s="30" t="s">
        <v>147</v>
      </c>
      <c r="Z13" s="30" t="s">
        <v>147</v>
      </c>
      <c r="AA13" s="30" t="s">
        <v>50</v>
      </c>
      <c r="AB13" s="30" t="s">
        <v>699</v>
      </c>
    </row>
    <row r="14" customFormat="false" ht="22.35" hidden="false" customHeight="false" outlineLevel="0" collapsed="false">
      <c r="A14" s="30" t="s">
        <v>700</v>
      </c>
      <c r="B14" s="30" t="s">
        <v>698</v>
      </c>
      <c r="C14" s="30" t="s">
        <v>701</v>
      </c>
      <c r="D14" s="30" t="s">
        <v>153</v>
      </c>
      <c r="E14" s="30" t="s">
        <v>106</v>
      </c>
      <c r="F14" s="55" t="n">
        <v>48.051</v>
      </c>
      <c r="G14" s="55" t="n">
        <v>37.82</v>
      </c>
      <c r="H14" s="55" t="n">
        <v>40.639</v>
      </c>
      <c r="I14" s="55" t="n">
        <v>69.923</v>
      </c>
      <c r="J14" s="32" t="n">
        <f aca="false">IFERROR(F14*FATOR_2016,"n.d.")</f>
        <v>74.4886587913814</v>
      </c>
      <c r="K14" s="32" t="n">
        <f aca="false">IFERROR(G14*FATOR_2019,"n.d.")</f>
        <v>52.6276824961233</v>
      </c>
      <c r="L14" s="32" t="n">
        <f aca="false">IFERROR(H14*FATOR_2022,"n.d.")</f>
        <v>46.4717515990664</v>
      </c>
      <c r="M14" s="33" t="n">
        <f aca="false">IFERROR(K14/J14-1,"n.d.")</f>
        <v>-0.29348060026807</v>
      </c>
      <c r="N14" s="33" t="n">
        <f aca="false">IFERROR(L14/K14-1,"n.d.")</f>
        <v>-0.116971346733923</v>
      </c>
      <c r="O14" s="33" t="n">
        <f aca="false">IFERROR(I14/L14-1,"n.d.")</f>
        <v>0.504634484261718</v>
      </c>
      <c r="P14" s="33" t="n">
        <f aca="false">IFERROR(I14/J14-1,"n.d.")</f>
        <v>-0.0612933413684936</v>
      </c>
      <c r="Q14" s="32" t="n">
        <f aca="false">IFERROR(I14-F14,"n.d.")</f>
        <v>21.872</v>
      </c>
      <c r="R14" s="32" t="n">
        <f aca="false">IFERROR(I14-G14,"n.d.")</f>
        <v>32.103</v>
      </c>
      <c r="S14" s="33" t="n">
        <f aca="false">IFERROR(F14/PIB_2016,"n.d.")</f>
        <v>0.00766445904002136</v>
      </c>
      <c r="T14" s="33" t="n">
        <f aca="false">IFERROR(G14/PIB_2019,"n.d.")</f>
        <v>0.00511832852875392</v>
      </c>
      <c r="U14" s="33" t="n">
        <f aca="false">IFERROR(H14/PIB_2022,"n.d.")</f>
        <v>0.00403177641821027</v>
      </c>
      <c r="V14" s="33" t="n">
        <f aca="false">IFERROR(I14/PIB_2025,"n.d.")</f>
        <v>0.0054890793830326</v>
      </c>
      <c r="W14" s="30" t="s">
        <v>702</v>
      </c>
      <c r="X14" s="30" t="s">
        <v>702</v>
      </c>
      <c r="Y14" s="30" t="s">
        <v>155</v>
      </c>
      <c r="Z14" s="30" t="s">
        <v>155</v>
      </c>
      <c r="AA14" s="30" t="s">
        <v>50</v>
      </c>
      <c r="AB14" s="30" t="s">
        <v>703</v>
      </c>
    </row>
    <row r="15" customFormat="false" ht="22.35" hidden="false" customHeight="false" outlineLevel="0" collapsed="false">
      <c r="A15" s="30" t="s">
        <v>704</v>
      </c>
      <c r="B15" s="30" t="s">
        <v>705</v>
      </c>
      <c r="C15" s="30" t="s">
        <v>706</v>
      </c>
      <c r="D15" s="30" t="s">
        <v>153</v>
      </c>
      <c r="E15" s="30" t="s">
        <v>106</v>
      </c>
      <c r="F15" s="55" t="n">
        <v>64.813</v>
      </c>
      <c r="G15" s="55" t="n">
        <v>56.593</v>
      </c>
      <c r="H15" s="55" t="n">
        <v>45.055</v>
      </c>
      <c r="I15" s="55" t="n">
        <v>83.406</v>
      </c>
      <c r="J15" s="32" t="n">
        <f aca="false">IFERROR(F15*FATOR_2016,"n.d.")</f>
        <v>100.473110700002</v>
      </c>
      <c r="K15" s="32" t="n">
        <f aca="false">IFERROR(G15*FATOR_2019,"n.d.")</f>
        <v>78.7508840693577</v>
      </c>
      <c r="L15" s="32" t="n">
        <f aca="false">IFERROR(H15*FATOR_2022,"n.d.")</f>
        <v>51.5215622504476</v>
      </c>
      <c r="M15" s="33" t="n">
        <f aca="false">IFERROR(K15/J15-1,"n.d.")</f>
        <v>-0.216199403793756</v>
      </c>
      <c r="N15" s="33" t="n">
        <f aca="false">IFERROR(L15/K15-1,"n.d.")</f>
        <v>-0.345765284297363</v>
      </c>
      <c r="O15" s="33" t="n">
        <f aca="false">IFERROR(I15/L15-1,"n.d.")</f>
        <v>0.61885619062872</v>
      </c>
      <c r="P15" s="33" t="n">
        <f aca="false">IFERROR(I15/J15-1,"n.d.")</f>
        <v>-0.169867445937471</v>
      </c>
      <c r="Q15" s="32" t="n">
        <f aca="false">IFERROR(I15-F15,"n.d.")</f>
        <v>18.593</v>
      </c>
      <c r="R15" s="32" t="n">
        <f aca="false">IFERROR(I15-G15,"n.d.")</f>
        <v>26.813</v>
      </c>
      <c r="S15" s="33" t="n">
        <f aca="false">IFERROR(F15/PIB_2016,"n.d.")</f>
        <v>0.0103381112518138</v>
      </c>
      <c r="T15" s="33" t="n">
        <f aca="false">IFERROR(G15/PIB_2019,"n.d.")</f>
        <v>0.00765895204727051</v>
      </c>
      <c r="U15" s="33" t="n">
        <f aca="false">IFERROR(H15/PIB_2022,"n.d.")</f>
        <v>0.0044698857383908</v>
      </c>
      <c r="V15" s="33" t="n">
        <f aca="false">IFERROR(I15/PIB_2025,"n.d.")</f>
        <v>0.00654751877095114</v>
      </c>
      <c r="W15" s="30" t="s">
        <v>155</v>
      </c>
      <c r="X15" s="30" t="s">
        <v>155</v>
      </c>
      <c r="Y15" s="30" t="s">
        <v>155</v>
      </c>
      <c r="Z15" s="30" t="s">
        <v>155</v>
      </c>
      <c r="AA15" s="30" t="s">
        <v>50</v>
      </c>
      <c r="AB15" s="30" t="s">
        <v>436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15" hidden="false" customHeight="false" outlineLevel="0" collapsed="false">
      <c r="A17" s="4" t="s">
        <v>457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" hidden="false" customHeight="false" outlineLevel="0" collapsed="false">
      <c r="A18" s="19" t="s">
        <v>707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5" hidden="false" customHeight="false" outlineLevel="0" collapsed="false">
      <c r="A19" s="19" t="s">
        <v>708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19" t="s">
        <v>582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19" t="s">
        <v>583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584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585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586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587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</sheetData>
  <autoFilter ref="A3:AB1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709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710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15" hidden="false" customHeight="false" outlineLevel="0" collapsed="false">
      <c r="A4" s="30" t="s">
        <v>711</v>
      </c>
      <c r="B4" s="30" t="s">
        <v>712</v>
      </c>
      <c r="C4" s="30" t="s">
        <v>690</v>
      </c>
      <c r="D4" s="30" t="s">
        <v>140</v>
      </c>
      <c r="E4" s="30" t="s">
        <v>106</v>
      </c>
      <c r="F4" s="55" t="n">
        <v>108.006</v>
      </c>
      <c r="G4" s="55" t="n">
        <v>120.56</v>
      </c>
      <c r="H4" s="55" t="n">
        <v>147.204</v>
      </c>
      <c r="I4" s="55" t="n">
        <v>232.87</v>
      </c>
      <c r="J4" s="32" t="n">
        <f aca="false">IFERROR(F4*FATOR_2016,"n.d.")</f>
        <v>167.430898033796</v>
      </c>
      <c r="K4" s="32" t="n">
        <f aca="false">IFERROR(G4*FATOR_2019,"n.d.")</f>
        <v>167.762913848033</v>
      </c>
      <c r="L4" s="32" t="n">
        <f aca="false">IFERROR(H4*FATOR_2022,"n.d.")</f>
        <v>168.331595816555</v>
      </c>
      <c r="M4" s="33" t="n">
        <f aca="false">IFERROR(K4/J4-1,"n.d.")</f>
        <v>0.00198300205121238</v>
      </c>
      <c r="N4" s="33" t="n">
        <f aca="false">IFERROR(L4/K4-1,"n.d.")</f>
        <v>0.00338979548862994</v>
      </c>
      <c r="O4" s="33" t="n">
        <f aca="false">IFERROR(I4/L4-1,"n.d.")</f>
        <v>0.383400417909529</v>
      </c>
      <c r="P4" s="33" t="n">
        <f aca="false">IFERROR(I4/J4-1,"n.d.")</f>
        <v>0.390842447449544</v>
      </c>
      <c r="Q4" s="32" t="n">
        <f aca="false">IFERROR(I4-F4,"n.d.")</f>
        <v>124.864</v>
      </c>
      <c r="R4" s="32" t="n">
        <f aca="false">IFERROR(I4-G4,"n.d.")</f>
        <v>112.31</v>
      </c>
      <c r="S4" s="33" t="n">
        <f aca="false">IFERROR(F4/PIB_2016,"n.d.")</f>
        <v>0.0172276864805425</v>
      </c>
      <c r="T4" s="33" t="n">
        <f aca="false">IFERROR(G4/PIB_2019,"n.d.")</f>
        <v>0.0163158563571278</v>
      </c>
      <c r="U4" s="33" t="n">
        <f aca="false">IFERROR(H4/PIB_2022,"n.d.")</f>
        <v>0.01460404084417</v>
      </c>
      <c r="V4" s="33" t="n">
        <f aca="false">IFERROR(I4/PIB_2025,"n.d.")</f>
        <v>0.0182807075772893</v>
      </c>
      <c r="W4" s="30" t="s">
        <v>235</v>
      </c>
      <c r="X4" s="30" t="s">
        <v>235</v>
      </c>
      <c r="Y4" s="30" t="s">
        <v>235</v>
      </c>
      <c r="Z4" s="30" t="s">
        <v>235</v>
      </c>
      <c r="AA4" s="30" t="s">
        <v>50</v>
      </c>
      <c r="AB4" s="30" t="s">
        <v>691</v>
      </c>
    </row>
    <row r="5" customFormat="false" ht="15" hidden="false" customHeight="false" outlineLevel="0" collapsed="false">
      <c r="A5" s="30" t="s">
        <v>711</v>
      </c>
      <c r="B5" s="30" t="s">
        <v>712</v>
      </c>
      <c r="C5" s="30" t="s">
        <v>692</v>
      </c>
      <c r="D5" s="30" t="s">
        <v>140</v>
      </c>
      <c r="E5" s="30" t="s">
        <v>106</v>
      </c>
      <c r="F5" s="55" t="n">
        <v>110.456</v>
      </c>
      <c r="G5" s="55" t="n">
        <v>125.01</v>
      </c>
      <c r="H5" s="55" t="n">
        <v>153.698</v>
      </c>
      <c r="I5" s="55" t="n">
        <v>239.62</v>
      </c>
      <c r="J5" s="32" t="n">
        <f aca="false">IFERROR(F5*FATOR_2016,"n.d.")</f>
        <v>171.228887961974</v>
      </c>
      <c r="K5" s="32" t="n">
        <f aca="false">IFERROR(G5*FATOR_2019,"n.d.")</f>
        <v>173.955224453738</v>
      </c>
      <c r="L5" s="32" t="n">
        <f aca="false">IFERROR(H5*FATOR_2022,"n.d.")</f>
        <v>175.757653418473</v>
      </c>
      <c r="M5" s="33" t="n">
        <f aca="false">IFERROR(K5/J5-1,"n.d.")</f>
        <v>0.0159221760078787</v>
      </c>
      <c r="N5" s="33" t="n">
        <f aca="false">IFERROR(L5/K5-1,"n.d.")</f>
        <v>0.0103614534739886</v>
      </c>
      <c r="O5" s="33" t="n">
        <f aca="false">IFERROR(I5/L5-1,"n.d.")</f>
        <v>0.363354569996865</v>
      </c>
      <c r="P5" s="33" t="n">
        <f aca="false">IFERROR(I5/J5-1,"n.d.")</f>
        <v>0.399413398358423</v>
      </c>
      <c r="Q5" s="32" t="n">
        <f aca="false">IFERROR(I5-F5,"n.d.")</f>
        <v>129.164</v>
      </c>
      <c r="R5" s="32" t="n">
        <f aca="false">IFERROR(I5-G5,"n.d.")</f>
        <v>114.61</v>
      </c>
      <c r="S5" s="33" t="n">
        <f aca="false">IFERROR(F5/PIB_2016,"n.d.")</f>
        <v>0.0176184780280244</v>
      </c>
      <c r="T5" s="33" t="n">
        <f aca="false">IFERROR(G5/PIB_2019,"n.d.")</f>
        <v>0.0169180922628114</v>
      </c>
      <c r="U5" s="33" t="n">
        <f aca="false">IFERROR(H5/PIB_2022,"n.d.")</f>
        <v>0.0152483075844898</v>
      </c>
      <c r="V5" s="33" t="n">
        <f aca="false">IFERROR(I5/PIB_2025,"n.d.")</f>
        <v>0.0188105945363081</v>
      </c>
      <c r="W5" s="30" t="s">
        <v>235</v>
      </c>
      <c r="X5" s="30" t="s">
        <v>235</v>
      </c>
      <c r="Y5" s="30" t="s">
        <v>235</v>
      </c>
      <c r="Z5" s="30" t="s">
        <v>235</v>
      </c>
      <c r="AA5" s="30" t="s">
        <v>50</v>
      </c>
      <c r="AB5" s="30" t="s">
        <v>436</v>
      </c>
    </row>
    <row r="6" customFormat="false" ht="15" hidden="false" customHeight="false" outlineLevel="0" collapsed="false">
      <c r="A6" s="30" t="s">
        <v>711</v>
      </c>
      <c r="B6" s="30" t="s">
        <v>712</v>
      </c>
      <c r="C6" s="30" t="s">
        <v>693</v>
      </c>
      <c r="D6" s="30" t="s">
        <v>140</v>
      </c>
      <c r="E6" s="30" t="s">
        <v>106</v>
      </c>
      <c r="F6" s="55" t="n">
        <v>106.487</v>
      </c>
      <c r="G6" s="55" t="n">
        <v>124.11</v>
      </c>
      <c r="H6" s="55" t="n">
        <v>153.231</v>
      </c>
      <c r="I6" s="55" t="n">
        <v>238.64</v>
      </c>
      <c r="J6" s="32" t="n">
        <f aca="false">IFERROR(F6*FATOR_2016,"n.d.")</f>
        <v>165.076144278326</v>
      </c>
      <c r="K6" s="32" t="n">
        <f aca="false">IFERROR(G6*FATOR_2019,"n.d.")</f>
        <v>172.702847027865</v>
      </c>
      <c r="L6" s="32" t="n">
        <f aca="false">IFERROR(H6*FATOR_2022,"n.d.")</f>
        <v>175.223626793881</v>
      </c>
      <c r="M6" s="33" t="n">
        <f aca="false">IFERROR(K6/J6-1,"n.d.")</f>
        <v>0.0462011199915149</v>
      </c>
      <c r="N6" s="33" t="n">
        <f aca="false">IFERROR(L6/K6-1,"n.d.")</f>
        <v>0.0145960521751534</v>
      </c>
      <c r="O6" s="33" t="n">
        <f aca="false">IFERROR(I6/L6-1,"n.d.")</f>
        <v>0.361916793793546</v>
      </c>
      <c r="P6" s="33" t="n">
        <f aca="false">IFERROR(I6/J6-1,"n.d.")</f>
        <v>0.445635897562778</v>
      </c>
      <c r="Q6" s="32" t="n">
        <f aca="false">IFERROR(I6-F6,"n.d.")</f>
        <v>132.153</v>
      </c>
      <c r="R6" s="32" t="n">
        <f aca="false">IFERROR(I6-G6,"n.d.")</f>
        <v>114.53</v>
      </c>
      <c r="S6" s="33" t="n">
        <f aca="false">IFERROR(F6/PIB_2016,"n.d.")</f>
        <v>0.0169853957211037</v>
      </c>
      <c r="T6" s="33" t="n">
        <f aca="false">IFERROR(G6/PIB_2019,"n.d.")</f>
        <v>0.0167962917425608</v>
      </c>
      <c r="U6" s="33" t="n">
        <f aca="false">IFERROR(H6/PIB_2022,"n.d.")</f>
        <v>0.0152019767302044</v>
      </c>
      <c r="V6" s="33" t="n">
        <f aca="false">IFERROR(I6/PIB_2025,"n.d.")</f>
        <v>0.0187336628000357</v>
      </c>
      <c r="W6" s="30" t="s">
        <v>235</v>
      </c>
      <c r="X6" s="30" t="s">
        <v>235</v>
      </c>
      <c r="Y6" s="30" t="s">
        <v>235</v>
      </c>
      <c r="Z6" s="30" t="s">
        <v>235</v>
      </c>
      <c r="AA6" s="30" t="s">
        <v>50</v>
      </c>
      <c r="AB6" s="30" t="s">
        <v>436</v>
      </c>
    </row>
    <row r="7" customFormat="false" ht="15" hidden="false" customHeight="false" outlineLevel="0" collapsed="false">
      <c r="A7" s="30" t="s">
        <v>711</v>
      </c>
      <c r="B7" s="30" t="s">
        <v>712</v>
      </c>
      <c r="C7" s="30" t="s">
        <v>694</v>
      </c>
      <c r="D7" s="30" t="s">
        <v>140</v>
      </c>
      <c r="E7" s="30" t="s">
        <v>106</v>
      </c>
      <c r="F7" s="55" t="n">
        <v>98.773</v>
      </c>
      <c r="G7" s="55" t="n">
        <v>113.91</v>
      </c>
      <c r="H7" s="55" t="n">
        <v>136.174</v>
      </c>
      <c r="I7" s="55" t="n">
        <v>217.07</v>
      </c>
      <c r="J7" s="32" t="n">
        <f aca="false">IFERROR(F7*FATOR_2016,"n.d.")</f>
        <v>153.117901704462</v>
      </c>
      <c r="K7" s="32" t="n">
        <f aca="false">IFERROR(G7*FATOR_2019,"n.d.")</f>
        <v>158.509236201306</v>
      </c>
      <c r="L7" s="32" t="n">
        <f aca="false">IFERROR(H7*FATOR_2022,"n.d.")</f>
        <v>155.718504447729</v>
      </c>
      <c r="M7" s="33" t="n">
        <f aca="false">IFERROR(K7/J7-1,"n.d.")</f>
        <v>0.0352103472998875</v>
      </c>
      <c r="N7" s="33" t="n">
        <f aca="false">IFERROR(L7/K7-1,"n.d.")</f>
        <v>-0.0176061144476953</v>
      </c>
      <c r="O7" s="33" t="n">
        <f aca="false">IFERROR(I7/L7-1,"n.d.")</f>
        <v>0.393989755873007</v>
      </c>
      <c r="P7" s="33" t="n">
        <f aca="false">IFERROR(I7/J7-1,"n.d.")</f>
        <v>0.417665717617877</v>
      </c>
      <c r="Q7" s="32" t="n">
        <f aca="false">IFERROR(I7-F7,"n.d.")</f>
        <v>118.297</v>
      </c>
      <c r="R7" s="32" t="n">
        <f aca="false">IFERROR(I7-G7,"n.d.")</f>
        <v>103.16</v>
      </c>
      <c r="S7" s="33" t="n">
        <f aca="false">IFERROR(F7/PIB_2016,"n.d.")</f>
        <v>0.015754960620175</v>
      </c>
      <c r="T7" s="33" t="n">
        <f aca="false">IFERROR(G7/PIB_2019,"n.d.")</f>
        <v>0.0154158858463871</v>
      </c>
      <c r="U7" s="33" t="n">
        <f aca="false">IFERROR(H7/PIB_2022,"n.d.")</f>
        <v>0.0135097596390995</v>
      </c>
      <c r="V7" s="33" t="n">
        <f aca="false">IFERROR(I7/PIB_2025,"n.d.")</f>
        <v>0.0170403795843268</v>
      </c>
      <c r="W7" s="30" t="s">
        <v>235</v>
      </c>
      <c r="X7" s="30" t="s">
        <v>235</v>
      </c>
      <c r="Y7" s="30" t="s">
        <v>235</v>
      </c>
      <c r="Z7" s="30" t="s">
        <v>235</v>
      </c>
      <c r="AA7" s="30" t="s">
        <v>50</v>
      </c>
      <c r="AB7" s="30" t="s">
        <v>436</v>
      </c>
    </row>
    <row r="8" customFormat="false" ht="22.35" hidden="false" customHeight="false" outlineLevel="0" collapsed="false">
      <c r="A8" s="30" t="s">
        <v>711</v>
      </c>
      <c r="B8" s="30" t="s">
        <v>712</v>
      </c>
      <c r="C8" s="30" t="s">
        <v>695</v>
      </c>
      <c r="D8" s="30" t="s">
        <v>140</v>
      </c>
      <c r="E8" s="30" t="s">
        <v>106</v>
      </c>
      <c r="F8" s="55" t="n">
        <v>100.191</v>
      </c>
      <c r="G8" s="55" t="n">
        <v>114.182</v>
      </c>
      <c r="H8" s="55" t="n">
        <v>136.85</v>
      </c>
      <c r="I8" s="55" t="n">
        <v>234.28</v>
      </c>
      <c r="J8" s="32" t="n">
        <f aca="false">IFERROR(F8*FATOR_2016,"n.d.")</f>
        <v>155.316085262893</v>
      </c>
      <c r="K8" s="32" t="n">
        <f aca="false">IFERROR(G8*FATOR_2019,"n.d.")</f>
        <v>158.887732490015</v>
      </c>
      <c r="L8" s="32" t="n">
        <f aca="false">IFERROR(H8*FATOR_2022,"n.d.")</f>
        <v>156.49152799853</v>
      </c>
      <c r="M8" s="33" t="n">
        <f aca="false">IFERROR(K8/J8-1,"n.d.")</f>
        <v>0.0229959905381061</v>
      </c>
      <c r="N8" s="33" t="n">
        <f aca="false">IFERROR(L8/K8-1,"n.d.")</f>
        <v>-0.0150811170499626</v>
      </c>
      <c r="O8" s="33" t="n">
        <f aca="false">IFERROR(I8/L8-1,"n.d.")</f>
        <v>0.497077848215537</v>
      </c>
      <c r="P8" s="33" t="n">
        <f aca="false">IFERROR(I8/J8-1,"n.d.")</f>
        <v>0.508407835566094</v>
      </c>
      <c r="Q8" s="32" t="n">
        <f aca="false">IFERROR(I8-F8,"n.d.")</f>
        <v>134.089</v>
      </c>
      <c r="R8" s="32" t="n">
        <f aca="false">IFERROR(I8-G8,"n.d.")</f>
        <v>120.098</v>
      </c>
      <c r="S8" s="33" t="n">
        <f aca="false">IFERROR(F8/PIB_2016,"n.d.")</f>
        <v>0.0159811411974523</v>
      </c>
      <c r="T8" s="33" t="n">
        <f aca="false">IFERROR(G8/PIB_2019,"n.d.")</f>
        <v>0.015452696670285</v>
      </c>
      <c r="U8" s="33" t="n">
        <f aca="false">IFERROR(H8/PIB_2022,"n.d.")</f>
        <v>0.0135768252868445</v>
      </c>
      <c r="V8" s="33" t="n">
        <f aca="false">IFERROR(I8/PIB_2025,"n.d.")</f>
        <v>0.0183913950753955</v>
      </c>
      <c r="W8" s="30" t="s">
        <v>242</v>
      </c>
      <c r="X8" s="30" t="s">
        <v>242</v>
      </c>
      <c r="Y8" s="30" t="s">
        <v>242</v>
      </c>
      <c r="Z8" s="30" t="s">
        <v>242</v>
      </c>
      <c r="AA8" s="30" t="s">
        <v>50</v>
      </c>
      <c r="AB8" s="30" t="s">
        <v>713</v>
      </c>
    </row>
    <row r="9" customFormat="false" ht="15" hidden="false" customHeight="false" outlineLevel="0" collapsed="false">
      <c r="A9" s="30" t="s">
        <v>714</v>
      </c>
      <c r="B9" s="30" t="s">
        <v>715</v>
      </c>
      <c r="C9" s="30" t="s">
        <v>690</v>
      </c>
      <c r="D9" s="30" t="s">
        <v>140</v>
      </c>
      <c r="E9" s="30" t="s">
        <v>106</v>
      </c>
      <c r="F9" s="55" t="n">
        <v>91.627</v>
      </c>
      <c r="G9" s="55" t="n">
        <v>103.03</v>
      </c>
      <c r="H9" s="55" t="n">
        <v>112.505</v>
      </c>
      <c r="I9" s="55" t="n">
        <v>163.1</v>
      </c>
      <c r="J9" s="32" t="n">
        <f aca="false">IFERROR(F9*FATOR_2016,"n.d.")</f>
        <v>142.040172713948</v>
      </c>
      <c r="K9" s="32" t="n">
        <f aca="false">IFERROR(G9*FATOR_2019,"n.d.")</f>
        <v>143.369384652977</v>
      </c>
      <c r="L9" s="32" t="n">
        <f aca="false">IFERROR(H9*FATOR_2022,"n.d.")</f>
        <v>128.652388436058</v>
      </c>
      <c r="M9" s="33" t="n">
        <f aca="false">IFERROR(K9/J9-1,"n.d.")</f>
        <v>0.0093580000195157</v>
      </c>
      <c r="N9" s="33" t="n">
        <f aca="false">IFERROR(L9/K9-1,"n.d.")</f>
        <v>-0.102650898952666</v>
      </c>
      <c r="O9" s="33" t="n">
        <f aca="false">IFERROR(I9/L9-1,"n.d.")</f>
        <v>0.267757264227261</v>
      </c>
      <c r="P9" s="33" t="n">
        <f aca="false">IFERROR(I9/J9-1,"n.d.")</f>
        <v>0.148266697256588</v>
      </c>
      <c r="Q9" s="32" t="n">
        <f aca="false">IFERROR(I9-F9,"n.d.")</f>
        <v>71.473</v>
      </c>
      <c r="R9" s="32" t="n">
        <f aca="false">IFERROR(I9-G9,"n.d.")</f>
        <v>60.07</v>
      </c>
      <c r="S9" s="33" t="n">
        <f aca="false">IFERROR(F9/PIB_2016,"n.d.")</f>
        <v>0.0146151253555605</v>
      </c>
      <c r="T9" s="33" t="n">
        <f aca="false">IFERROR(G9/PIB_2019,"n.d.")</f>
        <v>0.0139434528904684</v>
      </c>
      <c r="U9" s="33" t="n">
        <f aca="false">IFERROR(H9/PIB_2022,"n.d.")</f>
        <v>0.0111615690821808</v>
      </c>
      <c r="V9" s="33" t="n">
        <f aca="false">IFERROR(I9/PIB_2025,"n.d.")</f>
        <v>0.0128036389653278</v>
      </c>
      <c r="W9" s="30" t="s">
        <v>235</v>
      </c>
      <c r="X9" s="30" t="s">
        <v>235</v>
      </c>
      <c r="Y9" s="30" t="s">
        <v>235</v>
      </c>
      <c r="Z9" s="30" t="s">
        <v>235</v>
      </c>
      <c r="AA9" s="30" t="s">
        <v>50</v>
      </c>
      <c r="AB9" s="30" t="s">
        <v>691</v>
      </c>
    </row>
    <row r="10" customFormat="false" ht="15" hidden="false" customHeight="false" outlineLevel="0" collapsed="false">
      <c r="A10" s="30" t="s">
        <v>714</v>
      </c>
      <c r="B10" s="30" t="s">
        <v>715</v>
      </c>
      <c r="C10" s="30" t="s">
        <v>692</v>
      </c>
      <c r="D10" s="30" t="s">
        <v>140</v>
      </c>
      <c r="E10" s="30" t="s">
        <v>106</v>
      </c>
      <c r="F10" s="55" t="n">
        <v>97.41</v>
      </c>
      <c r="G10" s="55" t="n">
        <v>104.57</v>
      </c>
      <c r="H10" s="55" t="n">
        <v>118.572</v>
      </c>
      <c r="I10" s="55" t="n">
        <v>176.86</v>
      </c>
      <c r="J10" s="32" t="n">
        <f aca="false">IFERROR(F10*FATOR_2016,"n.d.")</f>
        <v>151.004979144419</v>
      </c>
      <c r="K10" s="32" t="n">
        <f aca="false">IFERROR(G10*FATOR_2019,"n.d.")</f>
        <v>145.512341581693</v>
      </c>
      <c r="L10" s="32" t="n">
        <f aca="false">IFERROR(H10*FATOR_2022,"n.d.")</f>
        <v>135.590160451894</v>
      </c>
      <c r="M10" s="33" t="n">
        <f aca="false">IFERROR(K10/J10-1,"n.d.")</f>
        <v>-0.0363738837874544</v>
      </c>
      <c r="N10" s="33" t="n">
        <f aca="false">IFERROR(L10/K10-1,"n.d.")</f>
        <v>-0.068187900915803</v>
      </c>
      <c r="O10" s="33" t="n">
        <f aca="false">IFERROR(I10/L10-1,"n.d.")</f>
        <v>0.30437193532748</v>
      </c>
      <c r="P10" s="33" t="n">
        <f aca="false">IFERROR(I10/J10-1,"n.d.")</f>
        <v>0.171219657802502</v>
      </c>
      <c r="Q10" s="32" t="n">
        <f aca="false">IFERROR(I10-F10,"n.d.")</f>
        <v>79.45</v>
      </c>
      <c r="R10" s="32" t="n">
        <f aca="false">IFERROR(I10-G10,"n.d.")</f>
        <v>72.29</v>
      </c>
      <c r="S10" s="33" t="n">
        <f aca="false">IFERROR(F10/PIB_2016,"n.d.")</f>
        <v>0.0155375529143718</v>
      </c>
      <c r="T10" s="33" t="n">
        <f aca="false">IFERROR(G10/PIB_2019,"n.d.")</f>
        <v>0.0141518671140084</v>
      </c>
      <c r="U10" s="33" t="n">
        <f aca="false">IFERROR(H10/PIB_2022,"n.d.")</f>
        <v>0.0117634733497386</v>
      </c>
      <c r="V10" s="33" t="n">
        <f aca="false">IFERROR(I10/PIB_2025,"n.d.")</f>
        <v>0.0138838233440091</v>
      </c>
      <c r="W10" s="30" t="s">
        <v>235</v>
      </c>
      <c r="X10" s="30" t="s">
        <v>235</v>
      </c>
      <c r="Y10" s="30" t="s">
        <v>235</v>
      </c>
      <c r="Z10" s="30" t="s">
        <v>235</v>
      </c>
      <c r="AA10" s="30" t="s">
        <v>50</v>
      </c>
      <c r="AB10" s="30" t="s">
        <v>436</v>
      </c>
    </row>
    <row r="11" customFormat="false" ht="15" hidden="false" customHeight="false" outlineLevel="0" collapsed="false">
      <c r="A11" s="30" t="s">
        <v>714</v>
      </c>
      <c r="B11" s="30" t="s">
        <v>715</v>
      </c>
      <c r="C11" s="30" t="s">
        <v>693</v>
      </c>
      <c r="D11" s="30" t="s">
        <v>140</v>
      </c>
      <c r="E11" s="30" t="s">
        <v>106</v>
      </c>
      <c r="F11" s="55" t="n">
        <v>94.546</v>
      </c>
      <c r="G11" s="55" t="n">
        <v>101.3</v>
      </c>
      <c r="H11" s="55" t="n">
        <v>117.753</v>
      </c>
      <c r="I11" s="55" t="n">
        <v>176.01</v>
      </c>
      <c r="J11" s="32" t="n">
        <f aca="false">IFERROR(F11*FATOR_2016,"n.d.")</f>
        <v>146.565206428377</v>
      </c>
      <c r="K11" s="32" t="n">
        <f aca="false">IFERROR(G11*FATOR_2019,"n.d.")</f>
        <v>140.962036934355</v>
      </c>
      <c r="L11" s="32" t="n">
        <f aca="false">IFERROR(H11*FATOR_2022,"n.d.")</f>
        <v>134.653612688424</v>
      </c>
      <c r="M11" s="33" t="n">
        <f aca="false">IFERROR(K11/J11-1,"n.d.")</f>
        <v>-0.0382298748152112</v>
      </c>
      <c r="N11" s="33" t="n">
        <f aca="false">IFERROR(L11/K11-1,"n.d.")</f>
        <v>-0.0447526467631013</v>
      </c>
      <c r="O11" s="33" t="n">
        <f aca="false">IFERROR(I11/L11-1,"n.d.")</f>
        <v>0.307131657932347</v>
      </c>
      <c r="P11" s="33" t="n">
        <f aca="false">IFERROR(I11/J11-1,"n.d.")</f>
        <v>0.200898932899275</v>
      </c>
      <c r="Q11" s="32" t="n">
        <f aca="false">IFERROR(I11-F11,"n.d.")</f>
        <v>81.464</v>
      </c>
      <c r="R11" s="32" t="n">
        <f aca="false">IFERROR(I11-G11,"n.d.")</f>
        <v>74.71</v>
      </c>
      <c r="S11" s="33" t="n">
        <f aca="false">IFERROR(F11/PIB_2016,"n.d.")</f>
        <v>0.0150807255707032</v>
      </c>
      <c r="T11" s="33" t="n">
        <f aca="false">IFERROR(G11/PIB_2019,"n.d.")</f>
        <v>0.0137093252237645</v>
      </c>
      <c r="U11" s="33" t="n">
        <f aca="false">IFERROR(H11/PIB_2022,"n.d.")</f>
        <v>0.0116822207380475</v>
      </c>
      <c r="V11" s="33" t="n">
        <f aca="false">IFERROR(I11/PIB_2025,"n.d.")</f>
        <v>0.0138170968380585</v>
      </c>
      <c r="W11" s="30" t="s">
        <v>235</v>
      </c>
      <c r="X11" s="30" t="s">
        <v>235</v>
      </c>
      <c r="Y11" s="30" t="s">
        <v>235</v>
      </c>
      <c r="Z11" s="30" t="s">
        <v>235</v>
      </c>
      <c r="AA11" s="30" t="s">
        <v>50</v>
      </c>
      <c r="AB11" s="30" t="s">
        <v>436</v>
      </c>
    </row>
    <row r="12" customFormat="false" ht="15" hidden="false" customHeight="false" outlineLevel="0" collapsed="false">
      <c r="A12" s="30" t="s">
        <v>714</v>
      </c>
      <c r="B12" s="30" t="s">
        <v>715</v>
      </c>
      <c r="C12" s="30" t="s">
        <v>694</v>
      </c>
      <c r="D12" s="30" t="s">
        <v>140</v>
      </c>
      <c r="E12" s="30" t="s">
        <v>106</v>
      </c>
      <c r="F12" s="55" t="n">
        <v>84.949</v>
      </c>
      <c r="G12" s="55" t="n">
        <v>88.22</v>
      </c>
      <c r="H12" s="55" t="n">
        <v>104.467</v>
      </c>
      <c r="I12" s="55" t="n">
        <v>156.97</v>
      </c>
      <c r="J12" s="32" t="n">
        <f aca="false">IFERROR(F12*FATOR_2016,"n.d.")</f>
        <v>131.687937309714</v>
      </c>
      <c r="K12" s="32" t="n">
        <f aca="false">IFERROR(G12*FATOR_2019,"n.d.")</f>
        <v>122.760818345003</v>
      </c>
      <c r="L12" s="32" t="n">
        <f aca="false">IFERROR(H12*FATOR_2022,"n.d.")</f>
        <v>119.460726747697</v>
      </c>
      <c r="M12" s="33" t="n">
        <f aca="false">IFERROR(K12/J12-1,"n.d.")</f>
        <v>-0.0677899521177531</v>
      </c>
      <c r="N12" s="33" t="n">
        <f aca="false">IFERROR(L12/K12-1,"n.d.")</f>
        <v>-0.0268822873763416</v>
      </c>
      <c r="O12" s="33" t="n">
        <f aca="false">IFERROR(I12/L12-1,"n.d.")</f>
        <v>0.313988322970131</v>
      </c>
      <c r="P12" s="33" t="n">
        <f aca="false">IFERROR(I12/J12-1,"n.d.")</f>
        <v>0.191984651037748</v>
      </c>
      <c r="Q12" s="32" t="n">
        <f aca="false">IFERROR(I12-F12,"n.d.")</f>
        <v>72.021</v>
      </c>
      <c r="R12" s="32" t="n">
        <f aca="false">IFERROR(I12-G12,"n.d.")</f>
        <v>68.75</v>
      </c>
      <c r="S12" s="33" t="n">
        <f aca="false">IFERROR(F12/PIB_2016,"n.d.")</f>
        <v>0.0135499392518527</v>
      </c>
      <c r="T12" s="33" t="n">
        <f aca="false">IFERROR(G12/PIB_2019,"n.d.")</f>
        <v>0.0119391576627888</v>
      </c>
      <c r="U12" s="33" t="n">
        <f aca="false">IFERROR(H12/PIB_2022,"n.d.")</f>
        <v>0.0103641228150587</v>
      </c>
      <c r="V12" s="33" t="n">
        <f aca="false">IFERROR(I12/PIB_2025,"n.d.")</f>
        <v>0.0123224231047671</v>
      </c>
      <c r="W12" s="30" t="s">
        <v>235</v>
      </c>
      <c r="X12" s="30" t="s">
        <v>235</v>
      </c>
      <c r="Y12" s="30" t="s">
        <v>235</v>
      </c>
      <c r="Z12" s="30" t="s">
        <v>235</v>
      </c>
      <c r="AA12" s="30" t="s">
        <v>50</v>
      </c>
      <c r="AB12" s="30" t="s">
        <v>436</v>
      </c>
    </row>
    <row r="13" customFormat="false" ht="22.35" hidden="false" customHeight="false" outlineLevel="0" collapsed="false">
      <c r="A13" s="30" t="s">
        <v>714</v>
      </c>
      <c r="B13" s="30" t="s">
        <v>715</v>
      </c>
      <c r="C13" s="30" t="s">
        <v>695</v>
      </c>
      <c r="D13" s="30" t="s">
        <v>140</v>
      </c>
      <c r="E13" s="30" t="s">
        <v>106</v>
      </c>
      <c r="F13" s="55" t="n">
        <v>95.184</v>
      </c>
      <c r="G13" s="55" t="n">
        <v>94.474</v>
      </c>
      <c r="H13" s="55" t="n">
        <v>109.778</v>
      </c>
      <c r="I13" s="55" t="n">
        <v>174.587</v>
      </c>
      <c r="J13" s="32" t="n">
        <f aca="false">IFERROR(F13*FATOR_2016,"n.d.")</f>
        <v>147.554234009674</v>
      </c>
      <c r="K13" s="32" t="n">
        <f aca="false">IFERROR(G13*FATOR_2019,"n.d.")</f>
        <v>131.463449924346</v>
      </c>
      <c r="L13" s="32" t="n">
        <f aca="false">IFERROR(H13*FATOR_2022,"n.d.")</f>
        <v>125.533993135715</v>
      </c>
      <c r="M13" s="33" t="n">
        <f aca="false">IFERROR(K13/J13-1,"n.d.")</f>
        <v>-0.1090499652099</v>
      </c>
      <c r="N13" s="33" t="n">
        <f aca="false">IFERROR(L13/K13-1,"n.d.")</f>
        <v>-0.0451034625368731</v>
      </c>
      <c r="O13" s="33" t="n">
        <f aca="false">IFERROR(I13/L13-1,"n.d.")</f>
        <v>0.390754771986373</v>
      </c>
      <c r="P13" s="33" t="n">
        <f aca="false">IFERROR(I13/J13-1,"n.d.")</f>
        <v>0.183205627217405</v>
      </c>
      <c r="Q13" s="32" t="n">
        <f aca="false">IFERROR(I13-F13,"n.d.")</f>
        <v>79.403</v>
      </c>
      <c r="R13" s="32" t="n">
        <f aca="false">IFERROR(I13-G13,"n.d.")</f>
        <v>80.113</v>
      </c>
      <c r="S13" s="33" t="n">
        <f aca="false">IFERROR(F13/PIB_2016,"n.d.")</f>
        <v>0.0151824908798026</v>
      </c>
      <c r="T13" s="33" t="n">
        <f aca="false">IFERROR(G13/PIB_2019,"n.d.")</f>
        <v>0.0127855359446192</v>
      </c>
      <c r="U13" s="33" t="n">
        <f aca="false">IFERROR(H13/PIB_2022,"n.d.")</f>
        <v>0.0108910246718248</v>
      </c>
      <c r="V13" s="33" t="n">
        <f aca="false">IFERROR(I13/PIB_2025,"n.d.")</f>
        <v>0.0137053888169202</v>
      </c>
      <c r="W13" s="30" t="s">
        <v>242</v>
      </c>
      <c r="X13" s="30" t="s">
        <v>242</v>
      </c>
      <c r="Y13" s="30" t="s">
        <v>242</v>
      </c>
      <c r="Z13" s="30" t="s">
        <v>242</v>
      </c>
      <c r="AA13" s="30" t="s">
        <v>50</v>
      </c>
      <c r="AB13" s="30" t="s">
        <v>713</v>
      </c>
    </row>
    <row r="14" customFormat="false" ht="15" hidden="false" customHeight="false" outlineLevel="0" collapsed="false">
      <c r="A14" s="30" t="s">
        <v>716</v>
      </c>
      <c r="B14" s="30" t="s">
        <v>717</v>
      </c>
      <c r="C14" s="30" t="s">
        <v>690</v>
      </c>
      <c r="D14" s="30" t="s">
        <v>140</v>
      </c>
      <c r="E14" s="30" t="s">
        <v>106</v>
      </c>
      <c r="F14" s="55" t="n">
        <v>570.877</v>
      </c>
      <c r="G14" s="55" t="n">
        <v>733.92</v>
      </c>
      <c r="H14" s="55" t="n">
        <v>882.003</v>
      </c>
      <c r="I14" s="55" t="n">
        <v>1085.59</v>
      </c>
      <c r="J14" s="32" t="n">
        <f aca="false">IFERROR(F14*FATOR_2016,"n.d.")</f>
        <v>884.973508664698</v>
      </c>
      <c r="K14" s="32" t="n">
        <f aca="false">IFERROR(G14*FATOR_2019,"n.d.")</f>
        <v>1021.27204488511</v>
      </c>
      <c r="L14" s="32" t="n">
        <f aca="false">IFERROR(H14*FATOR_2022,"n.d.")</f>
        <v>1008.59332969885</v>
      </c>
      <c r="M14" s="33" t="n">
        <f aca="false">IFERROR(K14/J14-1,"n.d.")</f>
        <v>0.154014255665196</v>
      </c>
      <c r="N14" s="33" t="n">
        <f aca="false">IFERROR(L14/K14-1,"n.d.")</f>
        <v>-0.0124146306067638</v>
      </c>
      <c r="O14" s="33" t="n">
        <f aca="false">IFERROR(I14/L14-1,"n.d.")</f>
        <v>0.0763406499269081</v>
      </c>
      <c r="P14" s="33" t="n">
        <f aca="false">IFERROR(I14/J14-1,"n.d.")</f>
        <v>0.226692086679525</v>
      </c>
      <c r="Q14" s="32" t="n">
        <f aca="false">IFERROR(I14-F14,"n.d.")</f>
        <v>514.713</v>
      </c>
      <c r="R14" s="32" t="n">
        <f aca="false">IFERROR(I14-G14,"n.d.")</f>
        <v>351.67</v>
      </c>
      <c r="S14" s="33" t="n">
        <f aca="false">IFERROR(F14/PIB_2016,"n.d.")</f>
        <v>0.0910587372456406</v>
      </c>
      <c r="T14" s="33" t="n">
        <f aca="false">IFERROR(G14/PIB_2019,"n.d.")</f>
        <v>0.0993242642470407</v>
      </c>
      <c r="U14" s="33" t="n">
        <f aca="false">IFERROR(H14/PIB_2022,"n.d.")</f>
        <v>0.087503110219019</v>
      </c>
      <c r="V14" s="33" t="n">
        <f aca="false">IFERROR(I14/PIB_2025,"n.d.")</f>
        <v>0.0852207383468437</v>
      </c>
      <c r="W14" s="30" t="s">
        <v>235</v>
      </c>
      <c r="X14" s="30" t="s">
        <v>235</v>
      </c>
      <c r="Y14" s="30" t="s">
        <v>235</v>
      </c>
      <c r="Z14" s="30" t="s">
        <v>235</v>
      </c>
      <c r="AA14" s="30" t="s">
        <v>50</v>
      </c>
      <c r="AB14" s="30" t="s">
        <v>691</v>
      </c>
    </row>
    <row r="15" customFormat="false" ht="15" hidden="false" customHeight="false" outlineLevel="0" collapsed="false">
      <c r="A15" s="30" t="s">
        <v>716</v>
      </c>
      <c r="B15" s="30" t="s">
        <v>717</v>
      </c>
      <c r="C15" s="30" t="s">
        <v>692</v>
      </c>
      <c r="D15" s="30" t="s">
        <v>140</v>
      </c>
      <c r="E15" s="30" t="s">
        <v>106</v>
      </c>
      <c r="F15" s="55" t="n">
        <v>595.214</v>
      </c>
      <c r="G15" s="55" t="n">
        <v>727.78</v>
      </c>
      <c r="H15" s="55" t="n">
        <v>897.749</v>
      </c>
      <c r="I15" s="55" t="n">
        <v>1103.83</v>
      </c>
      <c r="J15" s="32" t="n">
        <f aca="false">IFERROR(F15*FATOR_2016,"n.d.")</f>
        <v>922.700725351258</v>
      </c>
      <c r="K15" s="32" t="n">
        <f aca="false">IFERROR(G15*FATOR_2019,"n.d.")</f>
        <v>1012.72804777971</v>
      </c>
      <c r="L15" s="32" t="n">
        <f aca="false">IFERROR(H15*FATOR_2022,"n.d.")</f>
        <v>1026.59928950787</v>
      </c>
      <c r="M15" s="33" t="n">
        <f aca="false">IFERROR(K15/J15-1,"n.d.")</f>
        <v>0.0975693634511667</v>
      </c>
      <c r="N15" s="33" t="n">
        <f aca="false">IFERROR(L15/K15-1,"n.d.")</f>
        <v>0.0136969068434223</v>
      </c>
      <c r="O15" s="33" t="n">
        <f aca="false">IFERROR(I15/L15-1,"n.d.")</f>
        <v>0.07522965511612</v>
      </c>
      <c r="P15" s="33" t="n">
        <f aca="false">IFERROR(I15/J15-1,"n.d.")</f>
        <v>0.196303383829886</v>
      </c>
      <c r="Q15" s="32" t="n">
        <f aca="false">IFERROR(I15-F15,"n.d.")</f>
        <v>508.616</v>
      </c>
      <c r="R15" s="32" t="n">
        <f aca="false">IFERROR(I15-G15,"n.d.")</f>
        <v>376.05</v>
      </c>
      <c r="S15" s="33" t="n">
        <f aca="false">IFERROR(F15/PIB_2016,"n.d.")</f>
        <v>0.0949406531195454</v>
      </c>
      <c r="T15" s="33" t="n">
        <f aca="false">IFERROR(G15/PIB_2019,"n.d.")</f>
        <v>0.0984933140311087</v>
      </c>
      <c r="U15" s="33" t="n">
        <f aca="false">IFERROR(H15/PIB_2022,"n.d.")</f>
        <v>0.0890652636056953</v>
      </c>
      <c r="V15" s="33" t="n">
        <f aca="false">IFERROR(I15/PIB_2025,"n.d.")</f>
        <v>0.08665261066277</v>
      </c>
      <c r="W15" s="30" t="s">
        <v>235</v>
      </c>
      <c r="X15" s="30" t="s">
        <v>235</v>
      </c>
      <c r="Y15" s="30" t="s">
        <v>235</v>
      </c>
      <c r="Z15" s="30" t="s">
        <v>235</v>
      </c>
      <c r="AA15" s="30" t="s">
        <v>50</v>
      </c>
      <c r="AB15" s="30" t="s">
        <v>436</v>
      </c>
    </row>
    <row r="16" customFormat="false" ht="15" hidden="false" customHeight="false" outlineLevel="0" collapsed="false">
      <c r="A16" s="30" t="s">
        <v>716</v>
      </c>
      <c r="B16" s="30" t="s">
        <v>717</v>
      </c>
      <c r="C16" s="30" t="s">
        <v>693</v>
      </c>
      <c r="D16" s="30" t="s">
        <v>140</v>
      </c>
      <c r="E16" s="30" t="s">
        <v>106</v>
      </c>
      <c r="F16" s="55" t="n">
        <v>594.563</v>
      </c>
      <c r="G16" s="55" t="n">
        <v>726.13</v>
      </c>
      <c r="H16" s="55" t="n">
        <v>897.148</v>
      </c>
      <c r="I16" s="55" t="n">
        <v>1103.11</v>
      </c>
      <c r="J16" s="32" t="n">
        <f aca="false">IFERROR(F16*FATOR_2016,"n.d.")</f>
        <v>921.691545170342</v>
      </c>
      <c r="K16" s="32" t="n">
        <f aca="false">IFERROR(G16*FATOR_2019,"n.d.")</f>
        <v>1010.43202249894</v>
      </c>
      <c r="L16" s="32" t="n">
        <f aca="false">IFERROR(H16*FATOR_2022,"n.d.")</f>
        <v>1025.91203040427</v>
      </c>
      <c r="M16" s="33" t="n">
        <f aca="false">IFERROR(K16/J16-1,"n.d.")</f>
        <v>0.0962800166645781</v>
      </c>
      <c r="N16" s="33" t="n">
        <f aca="false">IFERROR(L16/K16-1,"n.d.")</f>
        <v>0.0153201873660398</v>
      </c>
      <c r="O16" s="33" t="n">
        <f aca="false">IFERROR(I16/L16-1,"n.d.")</f>
        <v>0.07524813756722</v>
      </c>
      <c r="P16" s="33" t="n">
        <f aca="false">IFERROR(I16/J16-1,"n.d.")</f>
        <v>0.196832070100122</v>
      </c>
      <c r="Q16" s="32" t="n">
        <f aca="false">IFERROR(I16-F16,"n.d.")</f>
        <v>508.547</v>
      </c>
      <c r="R16" s="32" t="n">
        <f aca="false">IFERROR(I16-G16,"n.d.")</f>
        <v>376.98</v>
      </c>
      <c r="S16" s="33" t="n">
        <f aca="false">IFERROR(F16/PIB_2016,"n.d.")</f>
        <v>0.094836814222643</v>
      </c>
      <c r="T16" s="33" t="n">
        <f aca="false">IFERROR(G16/PIB_2019,"n.d.")</f>
        <v>0.0982700130773159</v>
      </c>
      <c r="U16" s="33" t="n">
        <f aca="false">IFERROR(H16/PIB_2022,"n.d.")</f>
        <v>0.0890056386733066</v>
      </c>
      <c r="V16" s="33" t="n">
        <f aca="false">IFERROR(I16/PIB_2025,"n.d.")</f>
        <v>0.0865960893871414</v>
      </c>
      <c r="W16" s="30" t="s">
        <v>235</v>
      </c>
      <c r="X16" s="30" t="s">
        <v>235</v>
      </c>
      <c r="Y16" s="30" t="s">
        <v>235</v>
      </c>
      <c r="Z16" s="30" t="s">
        <v>235</v>
      </c>
      <c r="AA16" s="30" t="s">
        <v>50</v>
      </c>
      <c r="AB16" s="30" t="s">
        <v>436</v>
      </c>
    </row>
    <row r="17" customFormat="false" ht="15" hidden="false" customHeight="false" outlineLevel="0" collapsed="false">
      <c r="A17" s="30" t="s">
        <v>716</v>
      </c>
      <c r="B17" s="30" t="s">
        <v>717</v>
      </c>
      <c r="C17" s="30" t="s">
        <v>694</v>
      </c>
      <c r="D17" s="30" t="s">
        <v>140</v>
      </c>
      <c r="E17" s="30" t="s">
        <v>106</v>
      </c>
      <c r="F17" s="55" t="n">
        <v>593.925</v>
      </c>
      <c r="G17" s="55" t="n">
        <v>725.89</v>
      </c>
      <c r="H17" s="55" t="n">
        <v>894.75</v>
      </c>
      <c r="I17" s="55" t="n">
        <v>1101.48</v>
      </c>
      <c r="J17" s="32" t="n">
        <f aca="false">IFERROR(F17*FATOR_2016,"n.d.")</f>
        <v>920.702517589045</v>
      </c>
      <c r="K17" s="32" t="n">
        <f aca="false">IFERROR(G17*FATOR_2019,"n.d.")</f>
        <v>1010.09805518538</v>
      </c>
      <c r="L17" s="32" t="n">
        <f aca="false">IFERROR(H17*FATOR_2022,"n.d.")</f>
        <v>1023.16985514567</v>
      </c>
      <c r="M17" s="33" t="n">
        <f aca="false">IFERROR(K17/J17-1,"n.d.")</f>
        <v>0.0970949203336857</v>
      </c>
      <c r="N17" s="33" t="n">
        <f aca="false">IFERROR(L17/K17-1,"n.d.")</f>
        <v>0.0129411198182037</v>
      </c>
      <c r="O17" s="33" t="n">
        <f aca="false">IFERROR(I17/L17-1,"n.d.")</f>
        <v>0.0765367983238581</v>
      </c>
      <c r="P17" s="33" t="n">
        <f aca="false">IFERROR(I17/J17-1,"n.d.")</f>
        <v>0.196347331475035</v>
      </c>
      <c r="Q17" s="32" t="n">
        <f aca="false">IFERROR(I17-F17,"n.d.")</f>
        <v>507.555</v>
      </c>
      <c r="R17" s="32" t="n">
        <f aca="false">IFERROR(I17-G17,"n.d.")</f>
        <v>375.59</v>
      </c>
      <c r="S17" s="33" t="n">
        <f aca="false">IFERROR(F17/PIB_2016,"n.d.")</f>
        <v>0.0947350489135437</v>
      </c>
      <c r="T17" s="33" t="n">
        <f aca="false">IFERROR(G17/PIB_2019,"n.d.")</f>
        <v>0.0982375329385824</v>
      </c>
      <c r="U17" s="33" t="n">
        <f aca="false">IFERROR(H17/PIB_2022,"n.d.")</f>
        <v>0.0887677342009803</v>
      </c>
      <c r="V17" s="33" t="n">
        <f aca="false">IFERROR(I17/PIB_2025,"n.d.")</f>
        <v>0.0864681314992598</v>
      </c>
      <c r="W17" s="30" t="s">
        <v>235</v>
      </c>
      <c r="X17" s="30" t="s">
        <v>235</v>
      </c>
      <c r="Y17" s="30" t="s">
        <v>235</v>
      </c>
      <c r="Z17" s="30" t="s">
        <v>235</v>
      </c>
      <c r="AA17" s="30" t="s">
        <v>50</v>
      </c>
      <c r="AB17" s="30" t="s">
        <v>436</v>
      </c>
    </row>
    <row r="18" customFormat="false" ht="53.7" hidden="false" customHeight="false" outlineLevel="0" collapsed="false">
      <c r="A18" s="30" t="s">
        <v>716</v>
      </c>
      <c r="B18" s="30" t="s">
        <v>717</v>
      </c>
      <c r="C18" s="30" t="s">
        <v>695</v>
      </c>
      <c r="D18" s="30" t="s">
        <v>140</v>
      </c>
      <c r="E18" s="30" t="s">
        <v>106</v>
      </c>
      <c r="F18" s="55" t="n">
        <v>568.387</v>
      </c>
      <c r="G18" s="55" t="n">
        <v>668.956</v>
      </c>
      <c r="H18" s="55" t="n">
        <v>824.009</v>
      </c>
      <c r="I18" s="55" t="n">
        <v>1126.374</v>
      </c>
      <c r="J18" s="32" t="n">
        <f aca="false">IFERROR(F18*FATOR_2016,"n.d.")</f>
        <v>881.113510737693</v>
      </c>
      <c r="K18" s="32" t="n">
        <f aca="false">IFERROR(G18*FATOR_2019,"n.d.")</f>
        <v>930.872659224661</v>
      </c>
      <c r="L18" s="32" t="n">
        <f aca="false">IFERROR(H18*FATOR_2022,"n.d.")</f>
        <v>942.275685016736</v>
      </c>
      <c r="M18" s="33" t="n">
        <f aca="false">IFERROR(K18/J18-1,"n.d.")</f>
        <v>0.056473028594588</v>
      </c>
      <c r="N18" s="33" t="n">
        <f aca="false">IFERROR(L18/K18-1,"n.d.")</f>
        <v>0.0122498235167561</v>
      </c>
      <c r="O18" s="33" t="n">
        <f aca="false">IFERROR(I18/L18-1,"n.d.")</f>
        <v>0.195376276720962</v>
      </c>
      <c r="P18" s="33" t="n">
        <f aca="false">IFERROR(I18/J18-1,"n.d.")</f>
        <v>0.278352886743239</v>
      </c>
      <c r="Q18" s="32" t="n">
        <f aca="false">IFERROR(I18-F18,"n.d.")</f>
        <v>557.987</v>
      </c>
      <c r="R18" s="32" t="n">
        <f aca="false">IFERROR(I18-G18,"n.d.")</f>
        <v>457.418</v>
      </c>
      <c r="S18" s="33" t="n">
        <f aca="false">IFERROR(F18/PIB_2016,"n.d.")</f>
        <v>0.0906615654279957</v>
      </c>
      <c r="T18" s="33" t="n">
        <f aca="false">IFERROR(G18/PIB_2019,"n.d.")</f>
        <v>0.090532432027528</v>
      </c>
      <c r="U18" s="33" t="n">
        <f aca="false">IFERROR(H18/PIB_2022,"n.d.")</f>
        <v>0.0817495522673546</v>
      </c>
      <c r="V18" s="33" t="n">
        <f aca="false">IFERROR(I18/PIB_2025,"n.d.")</f>
        <v>0.0884223546041211</v>
      </c>
      <c r="W18" s="30" t="s">
        <v>242</v>
      </c>
      <c r="X18" s="30" t="s">
        <v>242</v>
      </c>
      <c r="Y18" s="30" t="s">
        <v>242</v>
      </c>
      <c r="Z18" s="30" t="s">
        <v>242</v>
      </c>
      <c r="AA18" s="30" t="s">
        <v>50</v>
      </c>
      <c r="AB18" s="30" t="s">
        <v>718</v>
      </c>
    </row>
    <row r="19" customFormat="false" ht="15" hidden="false" customHeight="false" outlineLevel="0" collapsed="false">
      <c r="A19" s="30" t="s">
        <v>719</v>
      </c>
      <c r="B19" s="30" t="s">
        <v>720</v>
      </c>
      <c r="C19" s="30" t="s">
        <v>690</v>
      </c>
      <c r="D19" s="30" t="s">
        <v>140</v>
      </c>
      <c r="E19" s="30" t="s">
        <v>106</v>
      </c>
      <c r="F19" s="55" t="n">
        <v>481.161</v>
      </c>
      <c r="G19" s="55" t="n">
        <v>624.29</v>
      </c>
      <c r="H19" s="55" t="n">
        <v>763.251</v>
      </c>
      <c r="I19" s="55" t="n">
        <v>980.82</v>
      </c>
      <c r="J19" s="32" t="n">
        <f aca="false">IFERROR(F19*FATOR_2016,"n.d.")</f>
        <v>745.89576809473</v>
      </c>
      <c r="K19" s="32" t="n">
        <f aca="false">IFERROR(G19*FATOR_2019,"n.d.")</f>
        <v>868.718559109064</v>
      </c>
      <c r="L19" s="32" t="n">
        <f aca="false">IFERROR(H19*FATOR_2022,"n.d.")</f>
        <v>872.797334573662</v>
      </c>
      <c r="M19" s="33" t="n">
        <f aca="false">IFERROR(K19/J19-1,"n.d.")</f>
        <v>0.164664818152898</v>
      </c>
      <c r="N19" s="33" t="n">
        <f aca="false">IFERROR(L19/K19-1,"n.d.")</f>
        <v>0.00469516326297992</v>
      </c>
      <c r="O19" s="33" t="n">
        <f aca="false">IFERROR(I19/L19-1,"n.d.")</f>
        <v>0.123766034962864</v>
      </c>
      <c r="P19" s="33" t="n">
        <f aca="false">IFERROR(I19/J19-1,"n.d.")</f>
        <v>0.314955844977304</v>
      </c>
      <c r="Q19" s="32" t="n">
        <f aca="false">IFERROR(I19-F19,"n.d.")</f>
        <v>499.659</v>
      </c>
      <c r="R19" s="32" t="n">
        <f aca="false">IFERROR(I19-G19,"n.d.")</f>
        <v>356.53</v>
      </c>
      <c r="S19" s="33" t="n">
        <f aca="false">IFERROR(F19/PIB_2016,"n.d.")</f>
        <v>0.0767484292971159</v>
      </c>
      <c r="T19" s="33" t="n">
        <f aca="false">IFERROR(G19/PIB_2019,"n.d.")</f>
        <v>0.084487607541401</v>
      </c>
      <c r="U19" s="33" t="n">
        <f aca="false">IFERROR(H19/PIB_2022,"n.d.")</f>
        <v>0.0757217791524251</v>
      </c>
      <c r="V19" s="33" t="n">
        <f aca="false">IFERROR(I19/PIB_2025,"n.d.")</f>
        <v>0.0769961077251553</v>
      </c>
      <c r="W19" s="30" t="s">
        <v>235</v>
      </c>
      <c r="X19" s="30" t="s">
        <v>235</v>
      </c>
      <c r="Y19" s="30" t="s">
        <v>235</v>
      </c>
      <c r="Z19" s="30" t="s">
        <v>235</v>
      </c>
      <c r="AA19" s="30" t="s">
        <v>50</v>
      </c>
      <c r="AB19" s="30" t="s">
        <v>691</v>
      </c>
    </row>
    <row r="20" customFormat="false" ht="15" hidden="false" customHeight="false" outlineLevel="0" collapsed="false">
      <c r="A20" s="30" t="s">
        <v>719</v>
      </c>
      <c r="B20" s="30" t="s">
        <v>720</v>
      </c>
      <c r="C20" s="30" t="s">
        <v>692</v>
      </c>
      <c r="D20" s="30" t="s">
        <v>140</v>
      </c>
      <c r="E20" s="30" t="s">
        <v>106</v>
      </c>
      <c r="F20" s="55" t="n">
        <v>499.745</v>
      </c>
      <c r="G20" s="55" t="n">
        <v>611.87</v>
      </c>
      <c r="H20" s="55" t="n">
        <v>776.226</v>
      </c>
      <c r="I20" s="55" t="n">
        <v>991.36</v>
      </c>
      <c r="J20" s="32" t="n">
        <f aca="false">IFERROR(F20*FATOR_2016,"n.d.")</f>
        <v>774.704684349938</v>
      </c>
      <c r="K20" s="32" t="n">
        <f aca="false">IFERROR(G20*FATOR_2019,"n.d.")</f>
        <v>851.435750632019</v>
      </c>
      <c r="L20" s="32" t="n">
        <f aca="false">IFERROR(H20*FATOR_2022,"n.d.")</f>
        <v>887.634583939982</v>
      </c>
      <c r="M20" s="33" t="n">
        <f aca="false">IFERROR(K20/J20-1,"n.d.")</f>
        <v>0.0990455690176531</v>
      </c>
      <c r="N20" s="33" t="n">
        <f aca="false">IFERROR(L20/K20-1,"n.d.")</f>
        <v>0.0425150497628186</v>
      </c>
      <c r="O20" s="33" t="n">
        <f aca="false">IFERROR(I20/L20-1,"n.d.")</f>
        <v>0.11685598774172</v>
      </c>
      <c r="P20" s="33" t="n">
        <f aca="false">IFERROR(I20/J20-1,"n.d.")</f>
        <v>0.279661811819118</v>
      </c>
      <c r="Q20" s="32" t="n">
        <f aca="false">IFERROR(I20-F20,"n.d.")</f>
        <v>491.615</v>
      </c>
      <c r="R20" s="32" t="n">
        <f aca="false">IFERROR(I20-G20,"n.d.")</f>
        <v>379.49</v>
      </c>
      <c r="S20" s="33" t="n">
        <f aca="false">IFERROR(F20/PIB_2016,"n.d.")</f>
        <v>0.0797127028148316</v>
      </c>
      <c r="T20" s="33" t="n">
        <f aca="false">IFERROR(G20/PIB_2019,"n.d.")</f>
        <v>0.0828067603619424</v>
      </c>
      <c r="U20" s="33" t="n">
        <f aca="false">IFERROR(H20/PIB_2022,"n.d.")</f>
        <v>0.0770090229090697</v>
      </c>
      <c r="V20" s="33" t="n">
        <f aca="false">IFERROR(I20/PIB_2025,"n.d.")</f>
        <v>0.0778235163989416</v>
      </c>
      <c r="W20" s="30" t="s">
        <v>235</v>
      </c>
      <c r="X20" s="30" t="s">
        <v>235</v>
      </c>
      <c r="Y20" s="30" t="s">
        <v>235</v>
      </c>
      <c r="Z20" s="30" t="s">
        <v>235</v>
      </c>
      <c r="AA20" s="30" t="s">
        <v>50</v>
      </c>
      <c r="AB20" s="30" t="s">
        <v>436</v>
      </c>
    </row>
    <row r="21" customFormat="false" ht="15" hidden="false" customHeight="false" outlineLevel="0" collapsed="false">
      <c r="A21" s="30" t="s">
        <v>719</v>
      </c>
      <c r="B21" s="30" t="s">
        <v>720</v>
      </c>
      <c r="C21" s="30" t="s">
        <v>693</v>
      </c>
      <c r="D21" s="30" t="s">
        <v>140</v>
      </c>
      <c r="E21" s="30" t="s">
        <v>106</v>
      </c>
      <c r="F21" s="55" t="n">
        <v>499.525</v>
      </c>
      <c r="G21" s="55" t="n">
        <v>611.36</v>
      </c>
      <c r="H21" s="55" t="n">
        <v>776.226</v>
      </c>
      <c r="I21" s="55" t="n">
        <v>991.34</v>
      </c>
      <c r="J21" s="32" t="n">
        <f aca="false">IFERROR(F21*FATOR_2016,"n.d.")</f>
        <v>774.363640356388</v>
      </c>
      <c r="K21" s="32" t="n">
        <f aca="false">IFERROR(G21*FATOR_2019,"n.d.")</f>
        <v>850.726070090691</v>
      </c>
      <c r="L21" s="32" t="n">
        <f aca="false">IFERROR(H21*FATOR_2022,"n.d.")</f>
        <v>887.634583939982</v>
      </c>
      <c r="M21" s="33" t="n">
        <f aca="false">IFERROR(K21/J21-1,"n.d.")</f>
        <v>0.0986131395569647</v>
      </c>
      <c r="N21" s="33" t="n">
        <f aca="false">IFERROR(L21/K21-1,"n.d.")</f>
        <v>0.0433847217652053</v>
      </c>
      <c r="O21" s="33" t="n">
        <f aca="false">IFERROR(I21/L21-1,"n.d.")</f>
        <v>0.116833455947261</v>
      </c>
      <c r="P21" s="33" t="n">
        <f aca="false">IFERROR(I21/J21-1,"n.d.")</f>
        <v>0.280199570764651</v>
      </c>
      <c r="Q21" s="32" t="n">
        <f aca="false">IFERROR(I21-F21,"n.d.")</f>
        <v>491.815</v>
      </c>
      <c r="R21" s="32" t="n">
        <f aca="false">IFERROR(I21-G21,"n.d.")</f>
        <v>379.98</v>
      </c>
      <c r="S21" s="33" t="n">
        <f aca="false">IFERROR(F21/PIB_2016,"n.d.")</f>
        <v>0.0796776113289353</v>
      </c>
      <c r="T21" s="33" t="n">
        <f aca="false">IFERROR(G21/PIB_2019,"n.d.")</f>
        <v>0.0827377400671337</v>
      </c>
      <c r="U21" s="33" t="n">
        <f aca="false">IFERROR(H21/PIB_2022,"n.d.")</f>
        <v>0.0770090229090697</v>
      </c>
      <c r="V21" s="33" t="n">
        <f aca="false">IFERROR(I21/PIB_2025,"n.d.")</f>
        <v>0.0778219463635075</v>
      </c>
      <c r="W21" s="30" t="s">
        <v>235</v>
      </c>
      <c r="X21" s="30" t="s">
        <v>235</v>
      </c>
      <c r="Y21" s="30" t="s">
        <v>235</v>
      </c>
      <c r="Z21" s="30" t="s">
        <v>235</v>
      </c>
      <c r="AA21" s="30" t="s">
        <v>50</v>
      </c>
      <c r="AB21" s="30" t="s">
        <v>436</v>
      </c>
    </row>
    <row r="22" customFormat="false" ht="15" hidden="false" customHeight="false" outlineLevel="0" collapsed="false">
      <c r="A22" s="30" t="s">
        <v>719</v>
      </c>
      <c r="B22" s="30" t="s">
        <v>720</v>
      </c>
      <c r="C22" s="30" t="s">
        <v>694</v>
      </c>
      <c r="D22" s="30" t="s">
        <v>140</v>
      </c>
      <c r="E22" s="30" t="s">
        <v>106</v>
      </c>
      <c r="F22" s="55" t="n">
        <v>499.044</v>
      </c>
      <c r="G22" s="55" t="n">
        <v>611.28</v>
      </c>
      <c r="H22" s="55" t="n">
        <v>774.211</v>
      </c>
      <c r="I22" s="55" t="n">
        <v>990.18</v>
      </c>
      <c r="J22" s="32" t="n">
        <f aca="false">IFERROR(F22*FATOR_2016,"n.d.")</f>
        <v>773.617994170488</v>
      </c>
      <c r="K22" s="32" t="n">
        <f aca="false">IFERROR(G22*FATOR_2019,"n.d.")</f>
        <v>850.614747652836</v>
      </c>
      <c r="L22" s="32" t="n">
        <f aca="false">IFERROR(H22*FATOR_2022,"n.d.")</f>
        <v>885.330379125097</v>
      </c>
      <c r="M22" s="33" t="n">
        <f aca="false">IFERROR(K22/J22-1,"n.d.")</f>
        <v>0.0995281315359107</v>
      </c>
      <c r="N22" s="33" t="n">
        <f aca="false">IFERROR(L22/K22-1,"n.d.")</f>
        <v>0.0408124025218875</v>
      </c>
      <c r="O22" s="33" t="n">
        <f aca="false">IFERROR(I22/L22-1,"n.d.")</f>
        <v>0.118429936831624</v>
      </c>
      <c r="P22" s="33" t="n">
        <f aca="false">IFERROR(I22/J22-1,"n.d.")</f>
        <v>0.279934033930688</v>
      </c>
      <c r="Q22" s="32" t="n">
        <f aca="false">IFERROR(I22-F22,"n.d.")</f>
        <v>491.136</v>
      </c>
      <c r="R22" s="32" t="n">
        <f aca="false">IFERROR(I22-G22,"n.d.")</f>
        <v>378.9</v>
      </c>
      <c r="S22" s="33" t="n">
        <f aca="false">IFERROR(F22/PIB_2016,"n.d.")</f>
        <v>0.0796008885802256</v>
      </c>
      <c r="T22" s="33" t="n">
        <f aca="false">IFERROR(G22/PIB_2019,"n.d.")</f>
        <v>0.0827269133542226</v>
      </c>
      <c r="U22" s="33" t="n">
        <f aca="false">IFERROR(H22/PIB_2022,"n.d.")</f>
        <v>0.0768091156898297</v>
      </c>
      <c r="V22" s="33" t="n">
        <f aca="false">IFERROR(I22/PIB_2025,"n.d.")</f>
        <v>0.077730884308328</v>
      </c>
      <c r="W22" s="30" t="s">
        <v>235</v>
      </c>
      <c r="X22" s="30" t="s">
        <v>235</v>
      </c>
      <c r="Y22" s="30" t="s">
        <v>235</v>
      </c>
      <c r="Z22" s="30" t="s">
        <v>235</v>
      </c>
      <c r="AA22" s="30" t="s">
        <v>50</v>
      </c>
      <c r="AB22" s="30" t="s">
        <v>436</v>
      </c>
    </row>
    <row r="23" customFormat="false" ht="22.35" hidden="false" customHeight="false" outlineLevel="0" collapsed="false">
      <c r="A23" s="30" t="s">
        <v>721</v>
      </c>
      <c r="B23" s="30" t="s">
        <v>722</v>
      </c>
      <c r="C23" s="30" t="s">
        <v>690</v>
      </c>
      <c r="D23" s="30" t="s">
        <v>140</v>
      </c>
      <c r="E23" s="30" t="s">
        <v>106</v>
      </c>
      <c r="F23" s="55" t="n">
        <v>81.316</v>
      </c>
      <c r="G23" s="55" t="n">
        <v>101.99</v>
      </c>
      <c r="H23" s="55" t="n">
        <v>112.398</v>
      </c>
      <c r="I23" s="55" t="n">
        <v>97.86</v>
      </c>
      <c r="J23" s="32" t="n">
        <f aca="false">IFERROR(F23*FATOR_2016,"n.d.")</f>
        <v>126.056060816215</v>
      </c>
      <c r="K23" s="32" t="n">
        <f aca="false">IFERROR(G23*FATOR_2019,"n.d.")</f>
        <v>141.922192960857</v>
      </c>
      <c r="L23" s="32" t="n">
        <f aca="false">IFERROR(H23*FATOR_2022,"n.d.")</f>
        <v>128.530031158047</v>
      </c>
      <c r="M23" s="33" t="n">
        <f aca="false">IFERROR(K23/J23-1,"n.d.")</f>
        <v>0.125865682632855</v>
      </c>
      <c r="N23" s="33" t="n">
        <f aca="false">IFERROR(L23/K23-1,"n.d.")</f>
        <v>-0.0943627034180893</v>
      </c>
      <c r="O23" s="33" t="n">
        <f aca="false">IFERROR(I23/L23-1,"n.d.")</f>
        <v>-0.23862151811302</v>
      </c>
      <c r="P23" s="33" t="n">
        <f aca="false">IFERROR(I23/J23-1,"n.d.")</f>
        <v>-0.223678739710296</v>
      </c>
      <c r="Q23" s="32" t="n">
        <f aca="false">IFERROR(I23-F23,"n.d.")</f>
        <v>16.544</v>
      </c>
      <c r="R23" s="32" t="n">
        <f aca="false">IFERROR(I23-G23,"n.d.")</f>
        <v>-4.13</v>
      </c>
      <c r="S23" s="33" t="n">
        <f aca="false">IFERROR(F23/PIB_2016,"n.d.")</f>
        <v>0.012970451214301</v>
      </c>
      <c r="T23" s="33" t="n">
        <f aca="false">IFERROR(G23/PIB_2019,"n.d.")</f>
        <v>0.0138027056226233</v>
      </c>
      <c r="U23" s="33" t="n">
        <f aca="false">IFERROR(H23/PIB_2022,"n.d.")</f>
        <v>0.0111509536616058</v>
      </c>
      <c r="V23" s="33" t="n">
        <f aca="false">IFERROR(I23/PIB_2025,"n.d.")</f>
        <v>0.00768218337919669</v>
      </c>
      <c r="W23" s="30" t="s">
        <v>235</v>
      </c>
      <c r="X23" s="30" t="s">
        <v>235</v>
      </c>
      <c r="Y23" s="30" t="s">
        <v>235</v>
      </c>
      <c r="Z23" s="30" t="s">
        <v>235</v>
      </c>
      <c r="AA23" s="30" t="s">
        <v>50</v>
      </c>
      <c r="AB23" s="30" t="s">
        <v>691</v>
      </c>
    </row>
    <row r="24" customFormat="false" ht="22.35" hidden="false" customHeight="false" outlineLevel="0" collapsed="false">
      <c r="A24" s="30" t="s">
        <v>721</v>
      </c>
      <c r="B24" s="30" t="s">
        <v>722</v>
      </c>
      <c r="C24" s="30" t="s">
        <v>692</v>
      </c>
      <c r="D24" s="30" t="s">
        <v>140</v>
      </c>
      <c r="E24" s="30" t="s">
        <v>106</v>
      </c>
      <c r="F24" s="55" t="n">
        <v>86.338</v>
      </c>
      <c r="G24" s="55" t="n">
        <v>109.37</v>
      </c>
      <c r="H24" s="55" t="n">
        <v>114.742</v>
      </c>
      <c r="I24" s="55" t="n">
        <v>105.21</v>
      </c>
      <c r="J24" s="32" t="n">
        <f aca="false">IFERROR(F24*FATOR_2016,"n.d.")</f>
        <v>133.841165068995</v>
      </c>
      <c r="K24" s="32" t="n">
        <f aca="false">IFERROR(G24*FATOR_2019,"n.d.")</f>
        <v>152.191687853014</v>
      </c>
      <c r="L24" s="32" t="n">
        <f aca="false">IFERROR(H24*FATOR_2022,"n.d.")</f>
        <v>131.210456014668</v>
      </c>
      <c r="M24" s="33" t="n">
        <f aca="false">IFERROR(K24/J24-1,"n.d.")</f>
        <v>0.137106717313463</v>
      </c>
      <c r="N24" s="33" t="n">
        <f aca="false">IFERROR(L24/K24-1,"n.d.")</f>
        <v>-0.137860563440299</v>
      </c>
      <c r="O24" s="33" t="n">
        <f aca="false">IFERROR(I24/L24-1,"n.d.")</f>
        <v>-0.198158415147655</v>
      </c>
      <c r="P24" s="33" t="n">
        <f aca="false">IFERROR(I24/J24-1,"n.d.")</f>
        <v>-0.213918976678332</v>
      </c>
      <c r="Q24" s="32" t="n">
        <f aca="false">IFERROR(I24-F24,"n.d.")</f>
        <v>18.872</v>
      </c>
      <c r="R24" s="32" t="n">
        <f aca="false">IFERROR(I24-G24,"n.d.")</f>
        <v>-4.16000000000001</v>
      </c>
      <c r="S24" s="33" t="n">
        <f aca="false">IFERROR(F24/PIB_2016,"n.d.")</f>
        <v>0.0137714941332618</v>
      </c>
      <c r="T24" s="33" t="n">
        <f aca="false">IFERROR(G24/PIB_2019,"n.d.")</f>
        <v>0.0148014698886784</v>
      </c>
      <c r="U24" s="33" t="n">
        <f aca="false">IFERROR(H24/PIB_2022,"n.d.")</f>
        <v>0.0113835008188755</v>
      </c>
      <c r="V24" s="33" t="n">
        <f aca="false">IFERROR(I24/PIB_2025,"n.d.")</f>
        <v>0.00825917140123935</v>
      </c>
      <c r="W24" s="30" t="s">
        <v>235</v>
      </c>
      <c r="X24" s="30" t="s">
        <v>235</v>
      </c>
      <c r="Y24" s="30" t="s">
        <v>235</v>
      </c>
      <c r="Z24" s="30" t="s">
        <v>235</v>
      </c>
      <c r="AA24" s="30" t="s">
        <v>50</v>
      </c>
      <c r="AB24" s="30" t="s">
        <v>436</v>
      </c>
    </row>
    <row r="25" customFormat="false" ht="22.35" hidden="false" customHeight="false" outlineLevel="0" collapsed="false">
      <c r="A25" s="30" t="s">
        <v>721</v>
      </c>
      <c r="B25" s="30" t="s">
        <v>722</v>
      </c>
      <c r="C25" s="30" t="s">
        <v>693</v>
      </c>
      <c r="D25" s="30" t="s">
        <v>140</v>
      </c>
      <c r="E25" s="30" t="s">
        <v>106</v>
      </c>
      <c r="F25" s="55" t="n">
        <v>86.108</v>
      </c>
      <c r="G25" s="55" t="n">
        <v>108.51</v>
      </c>
      <c r="H25" s="55" t="n">
        <v>114.257</v>
      </c>
      <c r="I25" s="55" t="n">
        <v>104.61</v>
      </c>
      <c r="J25" s="32" t="n">
        <f aca="false">IFERROR(F25*FATOR_2016,"n.d.")</f>
        <v>133.484619075738</v>
      </c>
      <c r="K25" s="32" t="n">
        <f aca="false">IFERROR(G25*FATOR_2019,"n.d.")</f>
        <v>150.994971646069</v>
      </c>
      <c r="L25" s="32" t="n">
        <f aca="false">IFERROR(H25*FATOR_2022,"n.d.")</f>
        <v>130.655845922747</v>
      </c>
      <c r="M25" s="33" t="n">
        <f aca="false">IFERROR(K25/J25-1,"n.d.")</f>
        <v>0.131178803157812</v>
      </c>
      <c r="N25" s="33" t="n">
        <f aca="false">IFERROR(L25/K25-1,"n.d.")</f>
        <v>-0.134700682424025</v>
      </c>
      <c r="O25" s="33" t="n">
        <f aca="false">IFERROR(I25/L25-1,"n.d.")</f>
        <v>-0.199346961774275</v>
      </c>
      <c r="P25" s="33" t="n">
        <f aca="false">IFERROR(I25/J25-1,"n.d.")</f>
        <v>-0.216314203656337</v>
      </c>
      <c r="Q25" s="32" t="n">
        <f aca="false">IFERROR(I25-F25,"n.d.")</f>
        <v>18.502</v>
      </c>
      <c r="R25" s="32" t="n">
        <f aca="false">IFERROR(I25-G25,"n.d.")</f>
        <v>-3.90000000000001</v>
      </c>
      <c r="S25" s="33" t="n">
        <f aca="false">IFERROR(F25/PIB_2016,"n.d.")</f>
        <v>0.0137348075798248</v>
      </c>
      <c r="T25" s="33" t="n">
        <f aca="false">IFERROR(G25/PIB_2019,"n.d.")</f>
        <v>0.0146850827248833</v>
      </c>
      <c r="U25" s="33" t="n">
        <f aca="false">IFERROR(H25/PIB_2022,"n.d.")</f>
        <v>0.0113353841929046</v>
      </c>
      <c r="V25" s="33" t="n">
        <f aca="false">IFERROR(I25/PIB_2025,"n.d.")</f>
        <v>0.00821207033821546</v>
      </c>
      <c r="W25" s="30" t="s">
        <v>235</v>
      </c>
      <c r="X25" s="30" t="s">
        <v>235</v>
      </c>
      <c r="Y25" s="30" t="s">
        <v>235</v>
      </c>
      <c r="Z25" s="30" t="s">
        <v>235</v>
      </c>
      <c r="AA25" s="30" t="s">
        <v>50</v>
      </c>
      <c r="AB25" s="30" t="s">
        <v>436</v>
      </c>
    </row>
    <row r="26" customFormat="false" ht="22.35" hidden="false" customHeight="false" outlineLevel="0" collapsed="false">
      <c r="A26" s="30" t="s">
        <v>721</v>
      </c>
      <c r="B26" s="30" t="s">
        <v>722</v>
      </c>
      <c r="C26" s="30" t="s">
        <v>694</v>
      </c>
      <c r="D26" s="30" t="s">
        <v>140</v>
      </c>
      <c r="E26" s="30" t="s">
        <v>106</v>
      </c>
      <c r="F26" s="55" t="n">
        <v>86.044</v>
      </c>
      <c r="G26" s="55" t="n">
        <v>108.46</v>
      </c>
      <c r="H26" s="55" t="n">
        <v>114.131</v>
      </c>
      <c r="I26" s="55" t="n">
        <v>104.5</v>
      </c>
      <c r="J26" s="32" t="n">
        <f aca="false">IFERROR(F26*FATOR_2016,"n.d.")</f>
        <v>133.385406277614</v>
      </c>
      <c r="K26" s="32" t="n">
        <f aca="false">IFERROR(G26*FATOR_2019,"n.d.")</f>
        <v>150.92539512241</v>
      </c>
      <c r="L26" s="32" t="n">
        <f aca="false">IFERROR(H26*FATOR_2022,"n.d.")</f>
        <v>130.511761651444</v>
      </c>
      <c r="M26" s="33" t="n">
        <f aca="false">IFERROR(K26/J26-1,"n.d.")</f>
        <v>0.131498559957077</v>
      </c>
      <c r="N26" s="33" t="n">
        <f aca="false">IFERROR(L26/K26-1,"n.d.")</f>
        <v>-0.135256452066324</v>
      </c>
      <c r="O26" s="33" t="n">
        <f aca="false">IFERROR(I26/L26-1,"n.d.")</f>
        <v>-0.199305881112184</v>
      </c>
      <c r="P26" s="33" t="n">
        <f aca="false">IFERROR(I26/J26-1,"n.d.")</f>
        <v>-0.216555971779213</v>
      </c>
      <c r="Q26" s="32" t="n">
        <f aca="false">IFERROR(I26-F26,"n.d.")</f>
        <v>18.456</v>
      </c>
      <c r="R26" s="32" t="n">
        <f aca="false">IFERROR(I26-G26,"n.d.")</f>
        <v>-3.95999999999999</v>
      </c>
      <c r="S26" s="33" t="n">
        <f aca="false">IFERROR(F26/PIB_2016,"n.d.")</f>
        <v>0.013724599147564</v>
      </c>
      <c r="T26" s="33" t="n">
        <f aca="false">IFERROR(G26/PIB_2019,"n.d.")</f>
        <v>0.0146783160293139</v>
      </c>
      <c r="U26" s="33" t="n">
        <f aca="false">IFERROR(H26/PIB_2022,"n.d.")</f>
        <v>0.011322883791106</v>
      </c>
      <c r="V26" s="33" t="n">
        <f aca="false">IFERROR(I26/PIB_2025,"n.d.")</f>
        <v>0.00820343514332775</v>
      </c>
      <c r="W26" s="30" t="s">
        <v>235</v>
      </c>
      <c r="X26" s="30" t="s">
        <v>235</v>
      </c>
      <c r="Y26" s="30" t="s">
        <v>235</v>
      </c>
      <c r="Z26" s="30" t="s">
        <v>235</v>
      </c>
      <c r="AA26" s="30" t="s">
        <v>50</v>
      </c>
      <c r="AB26" s="30" t="s">
        <v>436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4" t="s">
        <v>457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19" t="s">
        <v>723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5" hidden="false" customHeight="false" outlineLevel="0" collapsed="false">
      <c r="A30" s="19" t="s">
        <v>724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Format="false" ht="15" hidden="false" customHeight="false" outlineLevel="0" collapsed="false">
      <c r="A31" s="19" t="s">
        <v>582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" hidden="false" customHeight="false" outlineLevel="0" collapsed="false">
      <c r="A32" s="19" t="s">
        <v>583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" hidden="false" customHeight="false" outlineLevel="0" collapsed="false">
      <c r="A33" s="19" t="s">
        <v>584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" hidden="false" customHeight="false" outlineLevel="0" collapsed="false">
      <c r="A34" s="19" t="s">
        <v>585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" hidden="false" customHeight="false" outlineLevel="0" collapsed="false">
      <c r="A35" s="19" t="s">
        <v>586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" hidden="false" customHeight="false" outlineLevel="0" collapsed="false">
      <c r="A36" s="19" t="s">
        <v>587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</sheetData>
  <autoFilter ref="A3:AB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726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15" hidden="false" customHeight="false" outlineLevel="0" collapsed="false">
      <c r="A4" s="30" t="s">
        <v>727</v>
      </c>
      <c r="B4" s="30" t="s">
        <v>728</v>
      </c>
      <c r="C4" s="30" t="s">
        <v>690</v>
      </c>
      <c r="D4" s="30" t="s">
        <v>140</v>
      </c>
      <c r="E4" s="30" t="s">
        <v>106</v>
      </c>
      <c r="F4" s="55" t="n">
        <v>7.032</v>
      </c>
      <c r="G4" s="55" t="n">
        <v>10.37</v>
      </c>
      <c r="H4" s="55" t="n">
        <v>11.607</v>
      </c>
      <c r="I4" s="55" t="n">
        <v>15.62</v>
      </c>
      <c r="J4" s="32" t="n">
        <f aca="false">IFERROR(F4*FATOR_2016,"n.d.")</f>
        <v>10.9010061938564</v>
      </c>
      <c r="K4" s="32" t="n">
        <f aca="false">IFERROR(G4*FATOR_2019,"n.d.")</f>
        <v>14.4301710070016</v>
      </c>
      <c r="L4" s="32" t="n">
        <f aca="false">IFERROR(H4*FATOR_2022,"n.d.")</f>
        <v>13.2729058493163</v>
      </c>
      <c r="M4" s="33" t="n">
        <f aca="false">IFERROR(K4/J4-1,"n.d.")</f>
        <v>0.323746702862541</v>
      </c>
      <c r="N4" s="33" t="n">
        <f aca="false">IFERROR(L4/K4-1,"n.d.")</f>
        <v>-0.0801976052206012</v>
      </c>
      <c r="O4" s="33" t="n">
        <f aca="false">IFERROR(I4/L4-1,"n.d.")</f>
        <v>0.176833481479463</v>
      </c>
      <c r="P4" s="33" t="n">
        <f aca="false">IFERROR(I4/J4-1,"n.d.")</f>
        <v>0.432895250422217</v>
      </c>
      <c r="Q4" s="32" t="n">
        <f aca="false">IFERROR(I4-F4,"n.d.")</f>
        <v>8.588</v>
      </c>
      <c r="R4" s="32" t="n">
        <f aca="false">IFERROR(I4-G4,"n.d.")</f>
        <v>5.25</v>
      </c>
      <c r="S4" s="33" t="n">
        <f aca="false">IFERROR(F4/PIB_2016,"n.d.")</f>
        <v>0.00112165149465006</v>
      </c>
      <c r="T4" s="33" t="n">
        <f aca="false">IFERROR(G4/PIB_2019,"n.d.")</f>
        <v>0.00140341266110995</v>
      </c>
      <c r="U4" s="33" t="n">
        <f aca="false">IFERROR(H4/PIB_2022,"n.d.")</f>
        <v>0.00115152510854516</v>
      </c>
      <c r="V4" s="33" t="n">
        <f aca="false">IFERROR(I4/PIB_2025,"n.d.")</f>
        <v>0.00122619767405531</v>
      </c>
      <c r="W4" s="30" t="s">
        <v>235</v>
      </c>
      <c r="X4" s="30" t="s">
        <v>235</v>
      </c>
      <c r="Y4" s="30" t="s">
        <v>235</v>
      </c>
      <c r="Z4" s="30" t="s">
        <v>235</v>
      </c>
      <c r="AA4" s="30" t="s">
        <v>50</v>
      </c>
      <c r="AB4" s="30" t="s">
        <v>691</v>
      </c>
    </row>
    <row r="5" customFormat="false" ht="15" hidden="false" customHeight="false" outlineLevel="0" collapsed="false">
      <c r="A5" s="30" t="s">
        <v>727</v>
      </c>
      <c r="B5" s="30" t="s">
        <v>728</v>
      </c>
      <c r="C5" s="30" t="s">
        <v>692</v>
      </c>
      <c r="D5" s="30" t="s">
        <v>140</v>
      </c>
      <c r="E5" s="30" t="s">
        <v>106</v>
      </c>
      <c r="F5" s="55" t="n">
        <v>9.425</v>
      </c>
      <c r="G5" s="55" t="n">
        <v>10.51</v>
      </c>
      <c r="H5" s="55" t="n">
        <v>13.489</v>
      </c>
      <c r="I5" s="55" t="n">
        <v>16.88</v>
      </c>
      <c r="J5" s="32" t="n">
        <f aca="false">IFERROR(F5*FATOR_2016,"n.d.")</f>
        <v>14.6106347237054</v>
      </c>
      <c r="K5" s="32" t="n">
        <f aca="false">IFERROR(G5*FATOR_2019,"n.d.")</f>
        <v>14.6249852732484</v>
      </c>
      <c r="L5" s="32" t="n">
        <f aca="false">IFERROR(H5*FATOR_2022,"n.d.")</f>
        <v>15.4250217111594</v>
      </c>
      <c r="M5" s="33" t="n">
        <f aca="false">IFERROR(K5/J5-1,"n.d.")</f>
        <v>0.000982198912941712</v>
      </c>
      <c r="N5" s="33" t="n">
        <f aca="false">IFERROR(L5/K5-1,"n.d.")</f>
        <v>0.0547034012659398</v>
      </c>
      <c r="O5" s="33" t="n">
        <f aca="false">IFERROR(I5/L5-1,"n.d.")</f>
        <v>0.0943258503025619</v>
      </c>
      <c r="P5" s="33" t="n">
        <f aca="false">IFERROR(I5/J5-1,"n.d.")</f>
        <v>0.155322839781394</v>
      </c>
      <c r="Q5" s="32" t="n">
        <f aca="false">IFERROR(I5-F5,"n.d.")</f>
        <v>7.455</v>
      </c>
      <c r="R5" s="32" t="n">
        <f aca="false">IFERROR(I5-G5,"n.d.")</f>
        <v>6.37</v>
      </c>
      <c r="S5" s="33" t="n">
        <f aca="false">IFERROR(F5/PIB_2016,"n.d.")</f>
        <v>0.00150335115714972</v>
      </c>
      <c r="T5" s="33" t="n">
        <f aca="false">IFERROR(G5/PIB_2019,"n.d.")</f>
        <v>0.00142235940870449</v>
      </c>
      <c r="U5" s="33" t="n">
        <f aca="false">IFERROR(H5/PIB_2022,"n.d.")</f>
        <v>0.00133823745921992</v>
      </c>
      <c r="V5" s="33" t="n">
        <f aca="false">IFERROR(I5/PIB_2025,"n.d.")</f>
        <v>0.00132510990640548</v>
      </c>
      <c r="W5" s="30" t="s">
        <v>235</v>
      </c>
      <c r="X5" s="30" t="s">
        <v>235</v>
      </c>
      <c r="Y5" s="30" t="s">
        <v>235</v>
      </c>
      <c r="Z5" s="30" t="s">
        <v>235</v>
      </c>
      <c r="AA5" s="30" t="s">
        <v>50</v>
      </c>
      <c r="AB5" s="30" t="s">
        <v>436</v>
      </c>
    </row>
    <row r="6" customFormat="false" ht="15" hidden="false" customHeight="false" outlineLevel="0" collapsed="false">
      <c r="A6" s="30" t="s">
        <v>727</v>
      </c>
      <c r="B6" s="30" t="s">
        <v>728</v>
      </c>
      <c r="C6" s="30" t="s">
        <v>693</v>
      </c>
      <c r="D6" s="30" t="s">
        <v>140</v>
      </c>
      <c r="E6" s="30" t="s">
        <v>106</v>
      </c>
      <c r="F6" s="55" t="n">
        <v>8.816</v>
      </c>
      <c r="G6" s="55" t="n">
        <v>10.23</v>
      </c>
      <c r="H6" s="55" t="n">
        <v>13.057</v>
      </c>
      <c r="I6" s="55" t="n">
        <v>16.58</v>
      </c>
      <c r="J6" s="32" t="n">
        <f aca="false">IFERROR(F6*FATOR_2016,"n.d.")</f>
        <v>13.6665629415583</v>
      </c>
      <c r="K6" s="32" t="n">
        <f aca="false">IFERROR(G6*FATOR_2019,"n.d.")</f>
        <v>14.2353567407547</v>
      </c>
      <c r="L6" s="32" t="n">
        <f aca="false">IFERROR(H6*FATOR_2022,"n.d.")</f>
        <v>14.9310184952634</v>
      </c>
      <c r="M6" s="33" t="n">
        <f aca="false">IFERROR(K6/J6-1,"n.d.")</f>
        <v>0.0416193743539368</v>
      </c>
      <c r="N6" s="33" t="n">
        <f aca="false">IFERROR(L6/K6-1,"n.d.")</f>
        <v>0.0488685859566231</v>
      </c>
      <c r="O6" s="33" t="n">
        <f aca="false">IFERROR(I6/L6-1,"n.d.")</f>
        <v>0.110439988086525</v>
      </c>
      <c r="P6" s="33" t="n">
        <f aca="false">IFERROR(I6/J6-1,"n.d.")</f>
        <v>0.213179939308829</v>
      </c>
      <c r="Q6" s="32" t="n">
        <f aca="false">IFERROR(I6-F6,"n.d.")</f>
        <v>7.764</v>
      </c>
      <c r="R6" s="32" t="n">
        <f aca="false">IFERROR(I6-G6,"n.d.")</f>
        <v>6.35</v>
      </c>
      <c r="S6" s="33" t="n">
        <f aca="false">IFERROR(F6/PIB_2016,"n.d.")</f>
        <v>0.00140621154391851</v>
      </c>
      <c r="T6" s="33" t="n">
        <f aca="false">IFERROR(G6/PIB_2019,"n.d.")</f>
        <v>0.00138446591351541</v>
      </c>
      <c r="U6" s="33" t="n">
        <f aca="false">IFERROR(H6/PIB_2022,"n.d.")</f>
        <v>0.00129537893876748</v>
      </c>
      <c r="V6" s="33" t="n">
        <f aca="false">IFERROR(I6/PIB_2025,"n.d.")</f>
        <v>0.00130155937489353</v>
      </c>
      <c r="W6" s="30" t="s">
        <v>235</v>
      </c>
      <c r="X6" s="30" t="s">
        <v>235</v>
      </c>
      <c r="Y6" s="30" t="s">
        <v>235</v>
      </c>
      <c r="Z6" s="30" t="s">
        <v>235</v>
      </c>
      <c r="AA6" s="30" t="s">
        <v>50</v>
      </c>
      <c r="AB6" s="30" t="s">
        <v>436</v>
      </c>
    </row>
    <row r="7" customFormat="false" ht="15" hidden="false" customHeight="false" outlineLevel="0" collapsed="false">
      <c r="A7" s="30" t="s">
        <v>727</v>
      </c>
      <c r="B7" s="30" t="s">
        <v>728</v>
      </c>
      <c r="C7" s="30" t="s">
        <v>694</v>
      </c>
      <c r="D7" s="30" t="s">
        <v>140</v>
      </c>
      <c r="E7" s="30" t="s">
        <v>106</v>
      </c>
      <c r="F7" s="55" t="n">
        <v>7.553</v>
      </c>
      <c r="G7" s="55" t="n">
        <v>8.45</v>
      </c>
      <c r="H7" s="55" t="n">
        <v>10.982</v>
      </c>
      <c r="I7" s="55" t="n">
        <v>13.89</v>
      </c>
      <c r="J7" s="32" t="n">
        <f aca="false">IFERROR(F7*FATOR_2016,"n.d.")</f>
        <v>11.7086603785832</v>
      </c>
      <c r="K7" s="32" t="n">
        <f aca="false">IFERROR(G7*FATOR_2019,"n.d.")</f>
        <v>11.7584324984728</v>
      </c>
      <c r="L7" s="32" t="n">
        <f aca="false">IFERROR(H7*FATOR_2022,"n.d.")</f>
        <v>12.5582021226149</v>
      </c>
      <c r="M7" s="33" t="n">
        <f aca="false">IFERROR(K7/J7-1,"n.d.")</f>
        <v>0.00425088082498415</v>
      </c>
      <c r="N7" s="33" t="n">
        <f aca="false">IFERROR(L7/K7-1,"n.d.")</f>
        <v>0.0680166871091001</v>
      </c>
      <c r="O7" s="33" t="n">
        <f aca="false">IFERROR(I7/L7-1,"n.d.")</f>
        <v>0.106050043181481</v>
      </c>
      <c r="P7" s="33" t="n">
        <f aca="false">IFERROR(I7/J7-1,"n.d.")</f>
        <v>0.186301382983721</v>
      </c>
      <c r="Q7" s="32" t="n">
        <f aca="false">IFERROR(I7-F7,"n.d.")</f>
        <v>6.337</v>
      </c>
      <c r="R7" s="32" t="n">
        <f aca="false">IFERROR(I7-G7,"n.d.")</f>
        <v>5.44</v>
      </c>
      <c r="S7" s="33" t="n">
        <f aca="false">IFERROR(F7/PIB_2016,"n.d.")</f>
        <v>0.00120475451352274</v>
      </c>
      <c r="T7" s="33" t="n">
        <f aca="false">IFERROR(G7/PIB_2019,"n.d.")</f>
        <v>0.00114357155124195</v>
      </c>
      <c r="U7" s="33" t="n">
        <f aca="false">IFERROR(H7/PIB_2022,"n.d.")</f>
        <v>0.00108951914724243</v>
      </c>
      <c r="V7" s="33" t="n">
        <f aca="false">IFERROR(I7/PIB_2025,"n.d.")</f>
        <v>0.00109038960900309</v>
      </c>
      <c r="W7" s="30" t="s">
        <v>235</v>
      </c>
      <c r="X7" s="30" t="s">
        <v>235</v>
      </c>
      <c r="Y7" s="30" t="s">
        <v>235</v>
      </c>
      <c r="Z7" s="30" t="s">
        <v>235</v>
      </c>
      <c r="AA7" s="30" t="s">
        <v>50</v>
      </c>
      <c r="AB7" s="30" t="s">
        <v>436</v>
      </c>
    </row>
    <row r="8" customFormat="false" ht="22.35" hidden="false" customHeight="false" outlineLevel="0" collapsed="false">
      <c r="A8" s="30" t="s">
        <v>727</v>
      </c>
      <c r="B8" s="30" t="s">
        <v>728</v>
      </c>
      <c r="C8" s="30" t="s">
        <v>695</v>
      </c>
      <c r="D8" s="30" t="s">
        <v>140</v>
      </c>
      <c r="E8" s="30" t="s">
        <v>106</v>
      </c>
      <c r="F8" s="55" t="n">
        <v>8.423</v>
      </c>
      <c r="G8" s="55" t="n">
        <v>9.018</v>
      </c>
      <c r="H8" s="55" t="n">
        <v>11.729</v>
      </c>
      <c r="I8" s="55" t="n">
        <v>15.41</v>
      </c>
      <c r="J8" s="32" t="n">
        <f aca="false">IFERROR(F8*FATOR_2016,"n.d.")</f>
        <v>13.0573343530791</v>
      </c>
      <c r="K8" s="32" t="n">
        <f aca="false">IFERROR(G8*FATOR_2019,"n.d.")</f>
        <v>12.5488218072459</v>
      </c>
      <c r="L8" s="32" t="n">
        <f aca="false">IFERROR(H8*FATOR_2022,"n.d.")</f>
        <v>13.4124160167684</v>
      </c>
      <c r="M8" s="33" t="n">
        <f aca="false">IFERROR(K8/J8-1,"n.d.")</f>
        <v>-0.0389445909925187</v>
      </c>
      <c r="N8" s="33" t="n">
        <f aca="false">IFERROR(L8/K8-1,"n.d.")</f>
        <v>0.068818748308612</v>
      </c>
      <c r="O8" s="33" t="n">
        <f aca="false">IFERROR(I8/L8-1,"n.d.")</f>
        <v>0.148935432716538</v>
      </c>
      <c r="P8" s="33" t="n">
        <f aca="false">IFERROR(I8/J8-1,"n.d.")</f>
        <v>0.18017962803917</v>
      </c>
      <c r="Q8" s="32" t="n">
        <f aca="false">IFERROR(I8-F8,"n.d.")</f>
        <v>6.987</v>
      </c>
      <c r="R8" s="32" t="n">
        <f aca="false">IFERROR(I8-G8,"n.d.")</f>
        <v>6.392</v>
      </c>
      <c r="S8" s="33" t="n">
        <f aca="false">IFERROR(F8/PIB_2016,"n.d.")</f>
        <v>0.00134352538956733</v>
      </c>
      <c r="T8" s="33" t="n">
        <f aca="false">IFERROR(G8/PIB_2019,"n.d.")</f>
        <v>0.00122044121291123</v>
      </c>
      <c r="U8" s="33" t="n">
        <f aca="false">IFERROR(H8/PIB_2022,"n.d.")</f>
        <v>0.00116362867219145</v>
      </c>
      <c r="V8" s="33" t="n">
        <f aca="false">IFERROR(I8/PIB_2025,"n.d.")</f>
        <v>0.00120971230199694</v>
      </c>
      <c r="W8" s="30" t="s">
        <v>242</v>
      </c>
      <c r="X8" s="30" t="s">
        <v>242</v>
      </c>
      <c r="Y8" s="30" t="s">
        <v>242</v>
      </c>
      <c r="Z8" s="30" t="s">
        <v>242</v>
      </c>
      <c r="AA8" s="30" t="s">
        <v>50</v>
      </c>
      <c r="AB8" s="30" t="s">
        <v>713</v>
      </c>
    </row>
    <row r="9" customFormat="false" ht="43.25" hidden="false" customHeight="false" outlineLevel="0" collapsed="false">
      <c r="A9" s="42" t="s">
        <v>272</v>
      </c>
      <c r="B9" s="42" t="s">
        <v>729</v>
      </c>
      <c r="C9" s="42" t="s">
        <v>274</v>
      </c>
      <c r="D9" s="42" t="s">
        <v>140</v>
      </c>
      <c r="E9" s="42" t="s">
        <v>275</v>
      </c>
      <c r="F9" s="56" t="n">
        <v>39.609</v>
      </c>
      <c r="G9" s="56" t="n">
        <v>12.908</v>
      </c>
      <c r="H9" s="59" t="s">
        <v>730</v>
      </c>
      <c r="I9" s="56" t="n">
        <v>78.02</v>
      </c>
      <c r="J9" s="44" t="n">
        <f aca="false">IFERROR(F9*FATOR_2016,"n.d.")</f>
        <v>61.4018706388592</v>
      </c>
      <c r="K9" s="44" t="n">
        <f aca="false">IFERROR(G9*FATOR_2019,"n.d.")</f>
        <v>17.961875347963</v>
      </c>
      <c r="L9" s="44" t="str">
        <f aca="false">IFERROR(H9*FATOR_2022,"n.d.")</f>
        <v>n.d.</v>
      </c>
      <c r="M9" s="45" t="n">
        <f aca="false">IFERROR(K9/J9-1,"n.d.")</f>
        <v>-0.70747022588925</v>
      </c>
      <c r="N9" s="45" t="str">
        <f aca="false">IFERROR(L9/K9-1,"n.d.")</f>
        <v>n.d.</v>
      </c>
      <c r="O9" s="45" t="str">
        <f aca="false">IFERROR(I9/L9-1,"n.d.")</f>
        <v>n.d.</v>
      </c>
      <c r="P9" s="45" t="n">
        <f aca="false">IFERROR(I9/J9-1,"n.d.")</f>
        <v>0.270645327059852</v>
      </c>
      <c r="Q9" s="44" t="n">
        <f aca="false">IFERROR(I9-F9,"n.d.")</f>
        <v>38.411</v>
      </c>
      <c r="R9" s="44" t="n">
        <f aca="false">IFERROR(I9-G9,"n.d.")</f>
        <v>65.112</v>
      </c>
      <c r="S9" s="45" t="n">
        <f aca="false">IFERROR(F9/1000/PIB_2016,"n.d.")</f>
        <v>6.31790302212662E-006</v>
      </c>
      <c r="T9" s="45" t="n">
        <f aca="false">IFERROR(G9/1000/PIB_2019,"n.d.")</f>
        <v>1.7468901282167E-006</v>
      </c>
      <c r="U9" s="45" t="str">
        <f aca="false">IFERROR(H9/1000/PIB_2022,"n.d.")</f>
        <v>n.d.</v>
      </c>
      <c r="V9" s="45" t="n">
        <f aca="false">IFERROR(I9/1000/PIB_2025,"n.d.")</f>
        <v>6.12470822854001E-006</v>
      </c>
      <c r="W9" s="42" t="s">
        <v>276</v>
      </c>
      <c r="X9" s="42" t="s">
        <v>276</v>
      </c>
      <c r="Y9" s="42" t="s">
        <v>277</v>
      </c>
      <c r="Z9" s="42" t="s">
        <v>278</v>
      </c>
      <c r="AA9" s="42" t="s">
        <v>54</v>
      </c>
      <c r="AB9" s="42" t="s">
        <v>731</v>
      </c>
    </row>
    <row r="10" customFormat="false" ht="22.35" hidden="false" customHeight="false" outlineLevel="0" collapsed="false">
      <c r="A10" s="42" t="s">
        <v>280</v>
      </c>
      <c r="B10" s="42" t="s">
        <v>729</v>
      </c>
      <c r="C10" s="42" t="s">
        <v>693</v>
      </c>
      <c r="D10" s="42" t="s">
        <v>140</v>
      </c>
      <c r="E10" s="42" t="s">
        <v>275</v>
      </c>
      <c r="F10" s="56" t="n">
        <v>20.269</v>
      </c>
      <c r="G10" s="56" t="n">
        <v>12.458</v>
      </c>
      <c r="H10" s="59" t="s">
        <v>730</v>
      </c>
      <c r="I10" s="56" t="n">
        <v>77.486</v>
      </c>
      <c r="J10" s="44" t="n">
        <f aca="false">IFERROR(F10*FATOR_2016,"n.d.")</f>
        <v>31.4210032058128</v>
      </c>
      <c r="K10" s="44" t="n">
        <f aca="false">IFERROR(G10*FATOR_2019,"n.d.")</f>
        <v>17.3356866350266</v>
      </c>
      <c r="L10" s="44" t="str">
        <f aca="false">IFERROR(H10*FATOR_2022,"n.d.")</f>
        <v>n.d.</v>
      </c>
      <c r="M10" s="45" t="n">
        <f aca="false">IFERROR(K10/J10-1,"n.d.")</f>
        <v>-0.448277111921763</v>
      </c>
      <c r="N10" s="45" t="str">
        <f aca="false">IFERROR(L10/K10-1,"n.d.")</f>
        <v>n.d.</v>
      </c>
      <c r="O10" s="45" t="str">
        <f aca="false">IFERROR(I10/L10-1,"n.d.")</f>
        <v>n.d.</v>
      </c>
      <c r="P10" s="45" t="n">
        <f aca="false">IFERROR(I10/J10-1,"n.d.")</f>
        <v>1.4660574804838</v>
      </c>
      <c r="Q10" s="44" t="n">
        <f aca="false">IFERROR(I10-F10,"n.d.")</f>
        <v>57.217</v>
      </c>
      <c r="R10" s="44" t="n">
        <f aca="false">IFERROR(I10-G10,"n.d.")</f>
        <v>65.028</v>
      </c>
      <c r="S10" s="45" t="n">
        <f aca="false">IFERROR(F10/1000/PIB_2016,"n.d.")</f>
        <v>3.23304239833079E-006</v>
      </c>
      <c r="T10" s="45" t="n">
        <f aca="false">IFERROR(G10/1000/PIB_2019,"n.d.")</f>
        <v>1.68598986809139E-006</v>
      </c>
      <c r="U10" s="45" t="str">
        <f aca="false">IFERROR(H10/1000/PIB_2022,"n.d.")</f>
        <v>n.d.</v>
      </c>
      <c r="V10" s="45" t="n">
        <f aca="false">IFERROR(I10/1000/PIB_2025,"n.d.")</f>
        <v>6.08278828244875E-006</v>
      </c>
      <c r="W10" s="42" t="s">
        <v>283</v>
      </c>
      <c r="X10" s="42" t="s">
        <v>283</v>
      </c>
      <c r="Y10" s="42" t="s">
        <v>277</v>
      </c>
      <c r="Z10" s="42" t="s">
        <v>283</v>
      </c>
      <c r="AA10" s="42" t="s">
        <v>54</v>
      </c>
      <c r="AB10" s="42" t="s">
        <v>732</v>
      </c>
    </row>
    <row r="11" customFormat="false" ht="22.35" hidden="false" customHeight="false" outlineLevel="0" collapsed="false">
      <c r="A11" s="42" t="s">
        <v>285</v>
      </c>
      <c r="B11" s="42" t="s">
        <v>729</v>
      </c>
      <c r="C11" s="42" t="s">
        <v>694</v>
      </c>
      <c r="D11" s="42" t="s">
        <v>140</v>
      </c>
      <c r="E11" s="42" t="s">
        <v>275</v>
      </c>
      <c r="F11" s="56" t="n">
        <v>9.406</v>
      </c>
      <c r="G11" s="56" t="n">
        <v>5.937</v>
      </c>
      <c r="H11" s="59" t="s">
        <v>730</v>
      </c>
      <c r="I11" s="56" t="n">
        <v>60.634</v>
      </c>
      <c r="J11" s="44" t="n">
        <f aca="false">IFERROR(F11*FATOR_2016,"n.d.")</f>
        <v>14.5811809242624</v>
      </c>
      <c r="K11" s="44" t="n">
        <f aca="false">IFERROR(G11*FATOR_2019,"n.d.")</f>
        <v>8.2615164193412</v>
      </c>
      <c r="L11" s="44" t="str">
        <f aca="false">IFERROR(H11*FATOR_2022,"n.d.")</f>
        <v>n.d.</v>
      </c>
      <c r="M11" s="45" t="n">
        <f aca="false">IFERROR(K11/J11-1,"n.d.")</f>
        <v>-0.433412392161295</v>
      </c>
      <c r="N11" s="45" t="str">
        <f aca="false">IFERROR(L11/K11-1,"n.d.")</f>
        <v>n.d.</v>
      </c>
      <c r="O11" s="45" t="str">
        <f aca="false">IFERROR(I11/L11-1,"n.d.")</f>
        <v>n.d.</v>
      </c>
      <c r="P11" s="45" t="n">
        <f aca="false">IFERROR(I11/J11-1,"n.d.")</f>
        <v>3.15837375003748</v>
      </c>
      <c r="Q11" s="44" t="n">
        <f aca="false">IFERROR(I11-F11,"n.d.")</f>
        <v>51.228</v>
      </c>
      <c r="R11" s="44" t="n">
        <f aca="false">IFERROR(I11-G11,"n.d.")</f>
        <v>54.697</v>
      </c>
      <c r="S11" s="45" t="n">
        <f aca="false">IFERROR(F11/1000/PIB_2016,"n.d.")</f>
        <v>1.50032052882231E-006</v>
      </c>
      <c r="T11" s="45" t="n">
        <f aca="false">IFERROR(G11/1000/PIB_2019,"n.d.")</f>
        <v>8.03477431919938E-007</v>
      </c>
      <c r="U11" s="45" t="str">
        <f aca="false">IFERROR(H11/1000/PIB_2022,"n.d.")</f>
        <v>n.d.</v>
      </c>
      <c r="V11" s="45" t="n">
        <f aca="false">IFERROR(I11/1000/PIB_2025,"n.d.")</f>
        <v>4.75987642565105E-006</v>
      </c>
      <c r="W11" s="42" t="s">
        <v>283</v>
      </c>
      <c r="X11" s="42" t="s">
        <v>283</v>
      </c>
      <c r="Y11" s="42" t="s">
        <v>277</v>
      </c>
      <c r="Z11" s="42" t="s">
        <v>283</v>
      </c>
      <c r="AA11" s="42" t="s">
        <v>54</v>
      </c>
      <c r="AB11" s="42" t="s">
        <v>436</v>
      </c>
    </row>
    <row r="12" customFormat="false" ht="22.35" hidden="false" customHeight="false" outlineLevel="0" collapsed="false">
      <c r="A12" s="42" t="s">
        <v>289</v>
      </c>
      <c r="B12" s="42" t="s">
        <v>729</v>
      </c>
      <c r="C12" s="42" t="s">
        <v>287</v>
      </c>
      <c r="D12" s="42" t="s">
        <v>140</v>
      </c>
      <c r="E12" s="42" t="s">
        <v>275</v>
      </c>
      <c r="F12" s="56" t="n">
        <v>8.298</v>
      </c>
      <c r="G12" s="56" t="n">
        <v>5.88</v>
      </c>
      <c r="H12" s="59" t="s">
        <v>730</v>
      </c>
      <c r="I12" s="56" t="n">
        <v>58.026</v>
      </c>
      <c r="J12" s="44" t="n">
        <f aca="false">IFERROR(F12*FATOR_2016,"n.d.")</f>
        <v>12.8635593567435</v>
      </c>
      <c r="K12" s="44" t="n">
        <f aca="false">IFERROR(G12*FATOR_2019,"n.d.")</f>
        <v>8.18219918236925</v>
      </c>
      <c r="L12" s="44" t="str">
        <f aca="false">IFERROR(H12*FATOR_2022,"n.d.")</f>
        <v>n.d.</v>
      </c>
      <c r="M12" s="45" t="n">
        <f aca="false">IFERROR(K12/J12-1,"n.d.")</f>
        <v>-0.363924170950409</v>
      </c>
      <c r="N12" s="45" t="str">
        <f aca="false">IFERROR(L12/K12-1,"n.d.")</f>
        <v>n.d.</v>
      </c>
      <c r="O12" s="45" t="str">
        <f aca="false">IFERROR(I12/L12-1,"n.d.")</f>
        <v>n.d.</v>
      </c>
      <c r="P12" s="45" t="n">
        <f aca="false">IFERROR(I12/J12-1,"n.d.")</f>
        <v>3.51088212762674</v>
      </c>
      <c r="Q12" s="44" t="n">
        <f aca="false">IFERROR(I12-F12,"n.d.")</f>
        <v>49.728</v>
      </c>
      <c r="R12" s="44" t="n">
        <f aca="false">IFERROR(I12-G12,"n.d.")</f>
        <v>52.146</v>
      </c>
      <c r="S12" s="45" t="n">
        <f aca="false">IFERROR(F12/1000/PIB_2016,"n.d.")</f>
        <v>1.32358704530805E-006</v>
      </c>
      <c r="T12" s="45" t="n">
        <f aca="false">IFERROR(G12/1000/PIB_2019,"n.d.")</f>
        <v>7.95763398970731E-007</v>
      </c>
      <c r="U12" s="45" t="str">
        <f aca="false">IFERROR(H12/1000/PIB_2022,"n.d.")</f>
        <v>n.d.</v>
      </c>
      <c r="V12" s="45" t="n">
        <f aca="false">IFERROR(I12/1000/PIB_2025,"n.d.")</f>
        <v>4.55514380504054E-006</v>
      </c>
      <c r="W12" s="42" t="s">
        <v>283</v>
      </c>
      <c r="X12" s="42" t="s">
        <v>283</v>
      </c>
      <c r="Y12" s="42" t="s">
        <v>277</v>
      </c>
      <c r="Z12" s="42" t="s">
        <v>283</v>
      </c>
      <c r="AA12" s="42" t="s">
        <v>54</v>
      </c>
      <c r="AB12" s="42" t="s">
        <v>733</v>
      </c>
    </row>
    <row r="13" customFormat="false" ht="32.8" hidden="false" customHeight="false" outlineLevel="0" collapsed="false">
      <c r="A13" s="60" t="s">
        <v>734</v>
      </c>
      <c r="B13" s="60" t="s">
        <v>735</v>
      </c>
      <c r="C13" s="60" t="s">
        <v>736</v>
      </c>
      <c r="D13" s="60" t="s">
        <v>140</v>
      </c>
      <c r="E13" s="60" t="s">
        <v>275</v>
      </c>
      <c r="F13" s="59" t="s">
        <v>730</v>
      </c>
      <c r="G13" s="59" t="s">
        <v>730</v>
      </c>
      <c r="H13" s="59" t="s">
        <v>730</v>
      </c>
      <c r="I13" s="61" t="n">
        <v>137.08</v>
      </c>
      <c r="J13" s="62" t="str">
        <f aca="false">IFERROR(F13*FATOR_2016,"n.d.")</f>
        <v>n.d.</v>
      </c>
      <c r="K13" s="62" t="str">
        <f aca="false">IFERROR(G13*FATOR_2019,"n.d.")</f>
        <v>n.d.</v>
      </c>
      <c r="L13" s="62" t="str">
        <f aca="false">IFERROR(H13*FATOR_2022,"n.d.")</f>
        <v>n.d.</v>
      </c>
      <c r="M13" s="63" t="str">
        <f aca="false">IFERROR(K13/J13-1,"n.d.")</f>
        <v>n.d.</v>
      </c>
      <c r="N13" s="63" t="str">
        <f aca="false">IFERROR(L13/K13-1,"n.d.")</f>
        <v>n.d.</v>
      </c>
      <c r="O13" s="63" t="str">
        <f aca="false">IFERROR(I13/L13-1,"n.d.")</f>
        <v>n.d.</v>
      </c>
      <c r="P13" s="63" t="str">
        <f aca="false">IFERROR(I13/J13-1,"n.d.")</f>
        <v>n.d.</v>
      </c>
      <c r="Q13" s="62" t="str">
        <f aca="false">IFERROR(I13-F13,"n.d.")</f>
        <v>n.d.</v>
      </c>
      <c r="R13" s="62" t="str">
        <f aca="false">IFERROR(I13-G13,"n.d.")</f>
        <v>n.d.</v>
      </c>
      <c r="S13" s="63" t="str">
        <f aca="false">IFERROR(F13/1000/PIB_2016,"n.d.")</f>
        <v>n.d.</v>
      </c>
      <c r="T13" s="63" t="str">
        <f aca="false">IFERROR(G13/1000/PIB_2019,"n.d.")</f>
        <v>n.d.</v>
      </c>
      <c r="U13" s="63" t="str">
        <f aca="false">IFERROR(H13/1000/PIB_2022,"n.d.")</f>
        <v>n.d.</v>
      </c>
      <c r="V13" s="63" t="n">
        <f aca="false">IFERROR(I13/1000/PIB_2025,"n.d.")</f>
        <v>1.07610228655251E-005</v>
      </c>
      <c r="W13" s="60" t="s">
        <v>737</v>
      </c>
      <c r="X13" s="60" t="s">
        <v>738</v>
      </c>
      <c r="Y13" s="60" t="s">
        <v>739</v>
      </c>
      <c r="Z13" s="60" t="s">
        <v>740</v>
      </c>
      <c r="AA13" s="60" t="s">
        <v>56</v>
      </c>
      <c r="AB13" s="60" t="s">
        <v>741</v>
      </c>
    </row>
    <row r="14" customFormat="false" ht="32.8" hidden="false" customHeight="false" outlineLevel="0" collapsed="false">
      <c r="A14" s="60" t="s">
        <v>742</v>
      </c>
      <c r="B14" s="60" t="s">
        <v>743</v>
      </c>
      <c r="C14" s="60" t="s">
        <v>744</v>
      </c>
      <c r="D14" s="60" t="s">
        <v>140</v>
      </c>
      <c r="E14" s="60" t="s">
        <v>275</v>
      </c>
      <c r="F14" s="59" t="s">
        <v>730</v>
      </c>
      <c r="G14" s="59" t="s">
        <v>730</v>
      </c>
      <c r="H14" s="59" t="s">
        <v>730</v>
      </c>
      <c r="I14" s="61" t="n">
        <v>548.32</v>
      </c>
      <c r="J14" s="62" t="str">
        <f aca="false">IFERROR(F14*FATOR_2016,"n.d.")</f>
        <v>n.d.</v>
      </c>
      <c r="K14" s="62" t="str">
        <f aca="false">IFERROR(G14*FATOR_2019,"n.d.")</f>
        <v>n.d.</v>
      </c>
      <c r="L14" s="62" t="str">
        <f aca="false">IFERROR(H14*FATOR_2022,"n.d.")</f>
        <v>n.d.</v>
      </c>
      <c r="M14" s="63" t="str">
        <f aca="false">IFERROR(K14/J14-1,"n.d.")</f>
        <v>n.d.</v>
      </c>
      <c r="N14" s="63" t="str">
        <f aca="false">IFERROR(L14/K14-1,"n.d.")</f>
        <v>n.d.</v>
      </c>
      <c r="O14" s="63" t="str">
        <f aca="false">IFERROR(I14/L14-1,"n.d.")</f>
        <v>n.d.</v>
      </c>
      <c r="P14" s="63" t="str">
        <f aca="false">IFERROR(I14/J14-1,"n.d.")</f>
        <v>n.d.</v>
      </c>
      <c r="Q14" s="62" t="str">
        <f aca="false">IFERROR(I14-F14,"n.d.")</f>
        <v>n.d.</v>
      </c>
      <c r="R14" s="62" t="str">
        <f aca="false">IFERROR(I14-G14,"n.d.")</f>
        <v>n.d.</v>
      </c>
      <c r="S14" s="63" t="str">
        <f aca="false">IFERROR(F14/1000/PIB_2016,"n.d.")</f>
        <v>n.d.</v>
      </c>
      <c r="T14" s="63" t="str">
        <f aca="false">IFERROR(G14/1000/PIB_2019,"n.d.")</f>
        <v>n.d.</v>
      </c>
      <c r="U14" s="63" t="str">
        <f aca="false">IFERROR(H14/1000/PIB_2022,"n.d.")</f>
        <v>n.d.</v>
      </c>
      <c r="V14" s="63" t="n">
        <f aca="false">IFERROR(I14/1000/PIB_2025,"n.d.")</f>
        <v>4.30440914621002E-005</v>
      </c>
      <c r="W14" s="60" t="s">
        <v>745</v>
      </c>
      <c r="X14" s="60" t="s">
        <v>746</v>
      </c>
      <c r="Y14" s="60" t="s">
        <v>745</v>
      </c>
      <c r="Z14" s="60" t="s">
        <v>740</v>
      </c>
      <c r="AA14" s="60" t="s">
        <v>56</v>
      </c>
      <c r="AB14" s="60" t="s">
        <v>747</v>
      </c>
    </row>
    <row r="15" customFormat="false" ht="22.35" hidden="false" customHeight="false" outlineLevel="0" collapsed="false">
      <c r="A15" s="30" t="s">
        <v>748</v>
      </c>
      <c r="B15" s="30" t="s">
        <v>749</v>
      </c>
      <c r="C15" s="30" t="s">
        <v>690</v>
      </c>
      <c r="D15" s="30" t="s">
        <v>140</v>
      </c>
      <c r="E15" s="30" t="s">
        <v>106</v>
      </c>
      <c r="F15" s="55" t="n">
        <v>1.313</v>
      </c>
      <c r="G15" s="55" t="n">
        <v>2</v>
      </c>
      <c r="H15" s="55" t="n">
        <v>1.105</v>
      </c>
      <c r="I15" s="55" t="n">
        <v>2.79</v>
      </c>
      <c r="J15" s="32" t="n">
        <f aca="false">IFERROR(F15*FATOR_2016,"n.d.")</f>
        <v>2.03541256150931</v>
      </c>
      <c r="K15" s="32" t="n">
        <f aca="false">IFERROR(G15*FATOR_2019,"n.d.")</f>
        <v>2.7830609463841</v>
      </c>
      <c r="L15" s="32" t="n">
        <f aca="false">IFERROR(H15*FATOR_2022,"n.d.")</f>
        <v>1.263596188808</v>
      </c>
      <c r="M15" s="33" t="n">
        <f aca="false">IFERROR(K15/J15-1,"n.d.")</f>
        <v>0.367320315798971</v>
      </c>
      <c r="N15" s="33" t="n">
        <f aca="false">IFERROR(L15/K15-1,"n.d.")</f>
        <v>-0.545968912233225</v>
      </c>
      <c r="O15" s="33" t="n">
        <f aca="false">IFERROR(I15/L15-1,"n.d.")</f>
        <v>1.20798386756129</v>
      </c>
      <c r="P15" s="33" t="n">
        <f aca="false">IFERROR(I15/J15-1,"n.d.")</f>
        <v>0.370729479006039</v>
      </c>
      <c r="Q15" s="32" t="n">
        <f aca="false">IFERROR(I15-F15,"n.d.")</f>
        <v>1.477</v>
      </c>
      <c r="R15" s="32" t="n">
        <f aca="false">IFERROR(I15-G15,"n.d.")</f>
        <v>0.79</v>
      </c>
      <c r="S15" s="33" t="n">
        <f aca="false">IFERROR(F15/PIB_2016,"n.d.")</f>
        <v>0.000209432368099479</v>
      </c>
      <c r="T15" s="33" t="n">
        <f aca="false">IFERROR(G15/PIB_2019,"n.d.")</f>
        <v>0.00027066782277916</v>
      </c>
      <c r="U15" s="33" t="n">
        <f aca="false">IFERROR(H15/PIB_2022,"n.d.")</f>
        <v>0.000109626539583217</v>
      </c>
      <c r="V15" s="33" t="n">
        <f aca="false">IFERROR(I15/PIB_2025,"n.d.")</f>
        <v>0.000219019943061095</v>
      </c>
      <c r="W15" s="30" t="s">
        <v>235</v>
      </c>
      <c r="X15" s="30" t="s">
        <v>235</v>
      </c>
      <c r="Y15" s="30" t="s">
        <v>235</v>
      </c>
      <c r="Z15" s="30" t="s">
        <v>235</v>
      </c>
      <c r="AA15" s="30" t="s">
        <v>50</v>
      </c>
      <c r="AB15" s="30" t="s">
        <v>691</v>
      </c>
    </row>
    <row r="16" customFormat="false" ht="22.35" hidden="false" customHeight="false" outlineLevel="0" collapsed="false">
      <c r="A16" s="30" t="s">
        <v>748</v>
      </c>
      <c r="B16" s="30" t="s">
        <v>749</v>
      </c>
      <c r="C16" s="30" t="s">
        <v>692</v>
      </c>
      <c r="D16" s="30" t="s">
        <v>140</v>
      </c>
      <c r="E16" s="30" t="s">
        <v>106</v>
      </c>
      <c r="F16" s="55" t="n">
        <v>3.624</v>
      </c>
      <c r="G16" s="55" t="n">
        <v>2.69</v>
      </c>
      <c r="H16" s="55" t="n">
        <v>1.003</v>
      </c>
      <c r="I16" s="55" t="n">
        <v>2.33</v>
      </c>
      <c r="J16" s="32" t="n">
        <f aca="false">IFERROR(F16*FATOR_2016,"n.d.")</f>
        <v>5.61792469376217</v>
      </c>
      <c r="K16" s="32" t="n">
        <f aca="false">IFERROR(G16*FATOR_2019,"n.d.")</f>
        <v>3.74321697288661</v>
      </c>
      <c r="L16" s="32" t="n">
        <f aca="false">IFERROR(H16*FATOR_2022,"n.d.")</f>
        <v>1.14695654061034</v>
      </c>
      <c r="M16" s="33" t="n">
        <f aca="false">IFERROR(K16/J16-1,"n.d.")</f>
        <v>-0.333701112611411</v>
      </c>
      <c r="N16" s="33" t="n">
        <f aca="false">IFERROR(L16/K16-1,"n.d.")</f>
        <v>-0.693590687123366</v>
      </c>
      <c r="O16" s="33" t="n">
        <f aca="false">IFERROR(I16/L16-1,"n.d.")</f>
        <v>1.03146319629523</v>
      </c>
      <c r="P16" s="33" t="n">
        <f aca="false">IFERROR(I16/J16-1,"n.d.")</f>
        <v>-0.585256099536702</v>
      </c>
      <c r="Q16" s="32" t="n">
        <f aca="false">IFERROR(I16-F16,"n.d.")</f>
        <v>-1.294</v>
      </c>
      <c r="R16" s="32" t="n">
        <f aca="false">IFERROR(I16-G16,"n.d.")</f>
        <v>-0.36</v>
      </c>
      <c r="S16" s="33" t="n">
        <f aca="false">IFERROR(F16/PIB_2016,"n.d.")</f>
        <v>0.00057805247676505</v>
      </c>
      <c r="T16" s="33" t="n">
        <f aca="false">IFERROR(G16/PIB_2019,"n.d.")</f>
        <v>0.000364048221637971</v>
      </c>
      <c r="U16" s="33" t="n">
        <f aca="false">IFERROR(H16/PIB_2022,"n.d.")</f>
        <v>9.95071666986121E-005</v>
      </c>
      <c r="V16" s="33" t="n">
        <f aca="false">IFERROR(I16/PIB_2025,"n.d.")</f>
        <v>0.000182909128076112</v>
      </c>
      <c r="W16" s="30" t="s">
        <v>235</v>
      </c>
      <c r="X16" s="30" t="s">
        <v>235</v>
      </c>
      <c r="Y16" s="30" t="s">
        <v>235</v>
      </c>
      <c r="Z16" s="30" t="s">
        <v>235</v>
      </c>
      <c r="AA16" s="30" t="s">
        <v>50</v>
      </c>
      <c r="AB16" s="30" t="s">
        <v>436</v>
      </c>
    </row>
    <row r="17" customFormat="false" ht="22.35" hidden="false" customHeight="false" outlineLevel="0" collapsed="false">
      <c r="A17" s="30" t="s">
        <v>748</v>
      </c>
      <c r="B17" s="30" t="s">
        <v>749</v>
      </c>
      <c r="C17" s="30" t="s">
        <v>693</v>
      </c>
      <c r="D17" s="30" t="s">
        <v>140</v>
      </c>
      <c r="E17" s="30" t="s">
        <v>106</v>
      </c>
      <c r="F17" s="55" t="n">
        <v>2.324</v>
      </c>
      <c r="G17" s="55" t="n">
        <v>2.3</v>
      </c>
      <c r="H17" s="55" t="n">
        <v>0.972</v>
      </c>
      <c r="I17" s="55" t="n">
        <v>2.26</v>
      </c>
      <c r="J17" s="32" t="n">
        <f aca="false">IFERROR(F17*FATOR_2016,"n.d.")</f>
        <v>3.60266473187177</v>
      </c>
      <c r="K17" s="32" t="n">
        <f aca="false">IFERROR(G17*FATOR_2019,"n.d.")</f>
        <v>3.20052008834171</v>
      </c>
      <c r="L17" s="32" t="n">
        <f aca="false">IFERROR(H17*FATOR_2022,"n.d.")</f>
        <v>1.11150723576595</v>
      </c>
      <c r="M17" s="33" t="n">
        <f aca="false">IFERROR(K17/J17-1,"n.d.")</f>
        <v>-0.111624220808668</v>
      </c>
      <c r="N17" s="33" t="n">
        <f aca="false">IFERROR(L17/K17-1,"n.d.")</f>
        <v>-0.652710432965331</v>
      </c>
      <c r="O17" s="33" t="n">
        <f aca="false">IFERROR(I17/L17-1,"n.d.")</f>
        <v>1.03327511263803</v>
      </c>
      <c r="P17" s="33" t="n">
        <f aca="false">IFERROR(I17/J17-1,"n.d.")</f>
        <v>-0.372686561697953</v>
      </c>
      <c r="Q17" s="32" t="n">
        <f aca="false">IFERROR(I17-F17,"n.d.")</f>
        <v>-0.0640000000000001</v>
      </c>
      <c r="R17" s="32" t="n">
        <f aca="false">IFERROR(I17-G17,"n.d.")</f>
        <v>-0.04</v>
      </c>
      <c r="S17" s="33" t="n">
        <f aca="false">IFERROR(F17/PIB_2016,"n.d.")</f>
        <v>0.000370693696468536</v>
      </c>
      <c r="T17" s="33" t="n">
        <f aca="false">IFERROR(G17/PIB_2019,"n.d.")</f>
        <v>0.000311267996196034</v>
      </c>
      <c r="U17" s="33" t="n">
        <f aca="false">IFERROR(H17/PIB_2022,"n.d.")</f>
        <v>9.6431671017997E-005</v>
      </c>
      <c r="V17" s="33" t="n">
        <f aca="false">IFERROR(I17/PIB_2025,"n.d.")</f>
        <v>0.000177414004056658</v>
      </c>
      <c r="W17" s="30" t="s">
        <v>235</v>
      </c>
      <c r="X17" s="30" t="s">
        <v>235</v>
      </c>
      <c r="Y17" s="30" t="s">
        <v>235</v>
      </c>
      <c r="Z17" s="30" t="s">
        <v>235</v>
      </c>
      <c r="AA17" s="30" t="s">
        <v>50</v>
      </c>
      <c r="AB17" s="30" t="s">
        <v>436</v>
      </c>
    </row>
    <row r="18" customFormat="false" ht="22.35" hidden="false" customHeight="false" outlineLevel="0" collapsed="false">
      <c r="A18" s="30" t="s">
        <v>748</v>
      </c>
      <c r="B18" s="30" t="s">
        <v>749</v>
      </c>
      <c r="C18" s="30" t="s">
        <v>694</v>
      </c>
      <c r="D18" s="30" t="s">
        <v>140</v>
      </c>
      <c r="E18" s="30" t="s">
        <v>106</v>
      </c>
      <c r="F18" s="55" t="n">
        <v>1.802</v>
      </c>
      <c r="G18" s="55" t="n">
        <v>0.83</v>
      </c>
      <c r="H18" s="55" t="n">
        <v>0.662</v>
      </c>
      <c r="I18" s="55" t="n">
        <v>1.35</v>
      </c>
      <c r="J18" s="32" t="n">
        <f aca="false">IFERROR(F18*FATOR_2016,"n.d.")</f>
        <v>2.79346034717424</v>
      </c>
      <c r="K18" s="32" t="n">
        <f aca="false">IFERROR(G18*FATOR_2019,"n.d.")</f>
        <v>1.1549702927494</v>
      </c>
      <c r="L18" s="32" t="n">
        <f aca="false">IFERROR(H18*FATOR_2022,"n.d.")</f>
        <v>0.757014187322079</v>
      </c>
      <c r="M18" s="33" t="n">
        <f aca="false">IFERROR(K18/J18-1,"n.d.")</f>
        <v>-0.586544948125816</v>
      </c>
      <c r="N18" s="33" t="n">
        <f aca="false">IFERROR(L18/K18-1,"n.d.")</f>
        <v>-0.344559602896789</v>
      </c>
      <c r="O18" s="33" t="n">
        <f aca="false">IFERROR(I18/L18-1,"n.d.")</f>
        <v>0.783321927922639</v>
      </c>
      <c r="P18" s="33" t="n">
        <f aca="false">IFERROR(I18/J18-1,"n.d.")</f>
        <v>-0.516728418441446</v>
      </c>
      <c r="Q18" s="32" t="n">
        <f aca="false">IFERROR(I18-F18,"n.d.")</f>
        <v>-0.452</v>
      </c>
      <c r="R18" s="32" t="n">
        <f aca="false">IFERROR(I18-G18,"n.d.")</f>
        <v>0.52</v>
      </c>
      <c r="S18" s="33" t="n">
        <f aca="false">IFERROR(F18/PIB_2016,"n.d.")</f>
        <v>0.000287431170841783</v>
      </c>
      <c r="T18" s="33" t="n">
        <f aca="false">IFERROR(G18/PIB_2019,"n.d.")</f>
        <v>0.000112327146453352</v>
      </c>
      <c r="U18" s="33" t="n">
        <f aca="false">IFERROR(H18/PIB_2022,"n.d.")</f>
        <v>6.56767142118457E-005</v>
      </c>
      <c r="V18" s="33" t="n">
        <f aca="false">IFERROR(I18/PIB_2025,"n.d.")</f>
        <v>0.000105977391803756</v>
      </c>
      <c r="W18" s="30" t="s">
        <v>235</v>
      </c>
      <c r="X18" s="30" t="s">
        <v>235</v>
      </c>
      <c r="Y18" s="30" t="s">
        <v>235</v>
      </c>
      <c r="Z18" s="30" t="s">
        <v>235</v>
      </c>
      <c r="AA18" s="30" t="s">
        <v>50</v>
      </c>
      <c r="AB18" s="30" t="s">
        <v>436</v>
      </c>
    </row>
    <row r="19" customFormat="false" ht="32.8" hidden="false" customHeight="false" outlineLevel="0" collapsed="false">
      <c r="A19" s="30" t="s">
        <v>748</v>
      </c>
      <c r="B19" s="30" t="s">
        <v>749</v>
      </c>
      <c r="C19" s="30" t="s">
        <v>695</v>
      </c>
      <c r="D19" s="30" t="s">
        <v>140</v>
      </c>
      <c r="E19" s="30" t="s">
        <v>106</v>
      </c>
      <c r="F19" s="55" t="n">
        <v>1.842</v>
      </c>
      <c r="G19" s="55" t="n">
        <v>0.892</v>
      </c>
      <c r="H19" s="55" t="n">
        <v>0.724</v>
      </c>
      <c r="I19" s="55" t="n">
        <v>1.486</v>
      </c>
      <c r="J19" s="32" t="n">
        <f aca="false">IFERROR(F19*FATOR_2016,"n.d.")</f>
        <v>2.85546834600163</v>
      </c>
      <c r="K19" s="32" t="n">
        <f aca="false">IFERROR(G19*FATOR_2019,"n.d.")</f>
        <v>1.24124518208731</v>
      </c>
      <c r="L19" s="32" t="n">
        <f aca="false">IFERROR(H19*FATOR_2022,"n.d.")</f>
        <v>0.827912797010854</v>
      </c>
      <c r="M19" s="33" t="n">
        <f aca="false">IFERROR(K19/J19-1,"n.d.")</f>
        <v>-0.565309423294655</v>
      </c>
      <c r="N19" s="33" t="n">
        <f aca="false">IFERROR(L19/K19-1,"n.d.")</f>
        <v>-0.332998178797668</v>
      </c>
      <c r="O19" s="33" t="n">
        <f aca="false">IFERROR(I19/L19-1,"n.d.")</f>
        <v>0.794875022303247</v>
      </c>
      <c r="P19" s="33" t="n">
        <f aca="false">IFERROR(I19/J19-1,"n.d.")</f>
        <v>-0.479595001611287</v>
      </c>
      <c r="Q19" s="32" t="n">
        <f aca="false">IFERROR(I19-F19,"n.d.")</f>
        <v>-0.356</v>
      </c>
      <c r="R19" s="32" t="n">
        <f aca="false">IFERROR(I19-G19,"n.d.")</f>
        <v>0.594</v>
      </c>
      <c r="S19" s="33" t="n">
        <f aca="false">IFERROR(F19/PIB_2016,"n.d.")</f>
        <v>0.000293811441004752</v>
      </c>
      <c r="T19" s="33" t="n">
        <f aca="false">IFERROR(G19/PIB_2019,"n.d.")</f>
        <v>0.000120717848959506</v>
      </c>
      <c r="U19" s="33" t="n">
        <f aca="false">IFERROR(H19/PIB_2022,"n.d.")</f>
        <v>7.1827705573076E-005</v>
      </c>
      <c r="V19" s="33" t="n">
        <f aca="false">IFERROR(I19/PIB_2025,"n.d.")</f>
        <v>0.000116653632755838</v>
      </c>
      <c r="W19" s="30" t="s">
        <v>242</v>
      </c>
      <c r="X19" s="30" t="s">
        <v>242</v>
      </c>
      <c r="Y19" s="30" t="s">
        <v>242</v>
      </c>
      <c r="Z19" s="30" t="s">
        <v>242</v>
      </c>
      <c r="AA19" s="30" t="s">
        <v>50</v>
      </c>
      <c r="AB19" s="30" t="s">
        <v>750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4" t="s">
        <v>457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751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752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582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583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19" t="s">
        <v>584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19" t="s">
        <v>585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19" t="s">
        <v>586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19" t="s">
        <v>587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</sheetData>
  <autoFilter ref="A3:AB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753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754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32.8" hidden="false" customHeight="false" outlineLevel="0" collapsed="false">
      <c r="A4" s="30" t="s">
        <v>755</v>
      </c>
      <c r="B4" s="30" t="s">
        <v>756</v>
      </c>
      <c r="C4" s="30" t="s">
        <v>757</v>
      </c>
      <c r="D4" s="30" t="s">
        <v>140</v>
      </c>
      <c r="E4" s="30" t="s">
        <v>106</v>
      </c>
      <c r="F4" s="55" t="n">
        <v>27.49159</v>
      </c>
      <c r="G4" s="55" t="n">
        <v>32.48162</v>
      </c>
      <c r="H4" s="55" t="n">
        <v>113.85056</v>
      </c>
      <c r="I4" s="55" t="n">
        <v>158.21813</v>
      </c>
      <c r="J4" s="32" t="n">
        <f aca="false">IFERROR(F4*FATOR_2016,"n.d.")</f>
        <v>42.617462012082</v>
      </c>
      <c r="K4" s="32" t="n">
        <f aca="false">IFERROR(G4*FATOR_2019,"n.d.")</f>
        <v>45.1991640486443</v>
      </c>
      <c r="L4" s="32" t="n">
        <f aca="false">IFERROR(H4*FATOR_2022,"n.d.")</f>
        <v>130.191071230459</v>
      </c>
      <c r="M4" s="33" t="n">
        <f aca="false">IFERROR(K4/J4-1,"n.d.")</f>
        <v>0.0605785026764478</v>
      </c>
      <c r="N4" s="33" t="n">
        <f aca="false">IFERROR(L4/K4-1,"n.d.")</f>
        <v>1.88038670561128</v>
      </c>
      <c r="O4" s="33" t="n">
        <f aca="false">IFERROR(I4/L4-1,"n.d.")</f>
        <v>0.215276351171034</v>
      </c>
      <c r="P4" s="33" t="n">
        <f aca="false">IFERROR(I4/J4-1,"n.d.")</f>
        <v>2.71251882515072</v>
      </c>
      <c r="Q4" s="32" t="n">
        <f aca="false">IFERROR(I4-F4,"n.d.")</f>
        <v>130.72654</v>
      </c>
      <c r="R4" s="32" t="n">
        <f aca="false">IFERROR(I4-G4,"n.d.")</f>
        <v>125.73651</v>
      </c>
      <c r="S4" s="33" t="n">
        <f aca="false">IFERROR(F4/PIB_2016,"n.d.")</f>
        <v>0.00438509428523987</v>
      </c>
      <c r="T4" s="33" t="n">
        <f aca="false">IFERROR(G4/PIB_2019,"n.d.")</f>
        <v>0.00439586468287002</v>
      </c>
      <c r="U4" s="33" t="n">
        <f aca="false">IFERROR(H4/PIB_2022,"n.d.")</f>
        <v>0.0112950614682456</v>
      </c>
      <c r="V4" s="33" t="n">
        <f aca="false">IFERROR(I4/PIB_2025,"n.d.")</f>
        <v>0.0124204035210871</v>
      </c>
      <c r="W4" s="30" t="s">
        <v>291</v>
      </c>
      <c r="X4" s="30" t="s">
        <v>291</v>
      </c>
      <c r="Y4" s="30" t="s">
        <v>292</v>
      </c>
      <c r="Z4" s="30" t="s">
        <v>291</v>
      </c>
      <c r="AA4" s="30" t="s">
        <v>50</v>
      </c>
      <c r="AB4" s="30" t="s">
        <v>758</v>
      </c>
    </row>
    <row r="5" customFormat="false" ht="32.8" hidden="false" customHeight="false" outlineLevel="0" collapsed="false">
      <c r="A5" s="30" t="s">
        <v>755</v>
      </c>
      <c r="B5" s="30" t="s">
        <v>756</v>
      </c>
      <c r="C5" s="30" t="s">
        <v>693</v>
      </c>
      <c r="D5" s="30" t="s">
        <v>140</v>
      </c>
      <c r="E5" s="30" t="s">
        <v>106</v>
      </c>
      <c r="F5" s="55" t="n">
        <v>27.49159</v>
      </c>
      <c r="G5" s="55" t="n">
        <v>32.48162</v>
      </c>
      <c r="H5" s="55" t="n">
        <v>113.03283</v>
      </c>
      <c r="I5" s="55" t="n">
        <v>171.83567</v>
      </c>
      <c r="J5" s="32" t="n">
        <f aca="false">IFERROR(F5*FATOR_2016,"n.d.")</f>
        <v>42.617462012082</v>
      </c>
      <c r="K5" s="32" t="n">
        <f aca="false">IFERROR(G5*FATOR_2019,"n.d.")</f>
        <v>45.1991640486443</v>
      </c>
      <c r="L5" s="32" t="n">
        <f aca="false">IFERROR(H5*FATOR_2022,"n.d.")</f>
        <v>129.255975744962</v>
      </c>
      <c r="M5" s="33" t="n">
        <f aca="false">IFERROR(K5/J5-1,"n.d.")</f>
        <v>0.0605785026764478</v>
      </c>
      <c r="N5" s="33" t="n">
        <f aca="false">IFERROR(L5/K5-1,"n.d.")</f>
        <v>1.85969836977192</v>
      </c>
      <c r="O5" s="33" t="n">
        <f aca="false">IFERROR(I5/L5-1,"n.d.")</f>
        <v>0.329421475561433</v>
      </c>
      <c r="P5" s="33" t="n">
        <f aca="false">IFERROR(I5/J5-1,"n.d.")</f>
        <v>3.03204841131283</v>
      </c>
      <c r="Q5" s="32" t="n">
        <f aca="false">IFERROR(I5-F5,"n.d.")</f>
        <v>144.34408</v>
      </c>
      <c r="R5" s="32" t="n">
        <f aca="false">IFERROR(I5-G5,"n.d.")</f>
        <v>139.35405</v>
      </c>
      <c r="S5" s="33" t="n">
        <f aca="false">IFERROR(F5/PIB_2016,"n.d.")</f>
        <v>0.00438509428523987</v>
      </c>
      <c r="T5" s="33" t="n">
        <f aca="false">IFERROR(G5/PIB_2019,"n.d.")</f>
        <v>0.00439586468287002</v>
      </c>
      <c r="U5" s="33" t="n">
        <f aca="false">IFERROR(H5/PIB_2022,"n.d.")</f>
        <v>0.0112139348526679</v>
      </c>
      <c r="V5" s="33" t="n">
        <f aca="false">IFERROR(I5/PIB_2025,"n.d.")</f>
        <v>0.013489404537371</v>
      </c>
      <c r="W5" s="30" t="s">
        <v>291</v>
      </c>
      <c r="X5" s="30" t="s">
        <v>291</v>
      </c>
      <c r="Y5" s="30" t="s">
        <v>292</v>
      </c>
      <c r="Z5" s="30" t="s">
        <v>291</v>
      </c>
      <c r="AA5" s="30" t="s">
        <v>50</v>
      </c>
      <c r="AB5" s="30" t="s">
        <v>436</v>
      </c>
    </row>
    <row r="6" customFormat="false" ht="32.8" hidden="false" customHeight="false" outlineLevel="0" collapsed="false">
      <c r="A6" s="30" t="s">
        <v>755</v>
      </c>
      <c r="B6" s="30" t="s">
        <v>756</v>
      </c>
      <c r="C6" s="30" t="s">
        <v>694</v>
      </c>
      <c r="D6" s="30" t="s">
        <v>140</v>
      </c>
      <c r="E6" s="30" t="s">
        <v>106</v>
      </c>
      <c r="F6" s="55" t="n">
        <v>27.49159</v>
      </c>
      <c r="G6" s="55" t="n">
        <v>32.48162</v>
      </c>
      <c r="H6" s="55" t="n">
        <v>113.02915</v>
      </c>
      <c r="I6" s="55" t="n">
        <v>171.82365</v>
      </c>
      <c r="J6" s="32" t="n">
        <f aca="false">IFERROR(F6*FATOR_2016,"n.d.")</f>
        <v>42.617462012082</v>
      </c>
      <c r="K6" s="32" t="n">
        <f aca="false">IFERROR(G6*FATOR_2019,"n.d.")</f>
        <v>45.1991640486443</v>
      </c>
      <c r="L6" s="32" t="n">
        <f aca="false">IFERROR(H6*FATOR_2022,"n.d.")</f>
        <v>129.251767569419</v>
      </c>
      <c r="M6" s="33" t="n">
        <f aca="false">IFERROR(K6/J6-1,"n.d.")</f>
        <v>0.0605785026764478</v>
      </c>
      <c r="N6" s="33" t="n">
        <f aca="false">IFERROR(L6/K6-1,"n.d.")</f>
        <v>1.85960526682121</v>
      </c>
      <c r="O6" s="33" t="n">
        <f aca="false">IFERROR(I6/L6-1,"n.d.")</f>
        <v>0.329371762035798</v>
      </c>
      <c r="P6" s="33" t="n">
        <f aca="false">IFERROR(I6/J6-1,"n.d.")</f>
        <v>3.03176636730006</v>
      </c>
      <c r="Q6" s="32" t="n">
        <f aca="false">IFERROR(I6-F6,"n.d.")</f>
        <v>144.33206</v>
      </c>
      <c r="R6" s="32" t="n">
        <f aca="false">IFERROR(I6-G6,"n.d.")</f>
        <v>139.34203</v>
      </c>
      <c r="S6" s="33" t="n">
        <f aca="false">IFERROR(F6/PIB_2016,"n.d.")</f>
        <v>0.00438509428523987</v>
      </c>
      <c r="T6" s="33" t="n">
        <f aca="false">IFERROR(G6/PIB_2019,"n.d.")</f>
        <v>0.00439586468287002</v>
      </c>
      <c r="U6" s="33" t="n">
        <f aca="false">IFERROR(H6/PIB_2022,"n.d.")</f>
        <v>0.0112135697615677</v>
      </c>
      <c r="V6" s="33" t="n">
        <f aca="false">IFERROR(I6/PIB_2025,"n.d.")</f>
        <v>0.0134884609460751</v>
      </c>
      <c r="W6" s="30" t="s">
        <v>291</v>
      </c>
      <c r="X6" s="30" t="s">
        <v>291</v>
      </c>
      <c r="Y6" s="30" t="s">
        <v>292</v>
      </c>
      <c r="Z6" s="30" t="s">
        <v>291</v>
      </c>
      <c r="AA6" s="30" t="s">
        <v>50</v>
      </c>
      <c r="AB6" s="30" t="s">
        <v>436</v>
      </c>
    </row>
    <row r="7" customFormat="false" ht="32.8" hidden="false" customHeight="false" outlineLevel="0" collapsed="false">
      <c r="A7" s="30" t="s">
        <v>755</v>
      </c>
      <c r="B7" s="30" t="s">
        <v>756</v>
      </c>
      <c r="C7" s="30" t="s">
        <v>287</v>
      </c>
      <c r="D7" s="30" t="s">
        <v>140</v>
      </c>
      <c r="E7" s="30" t="s">
        <v>106</v>
      </c>
      <c r="F7" s="55" t="n">
        <v>27.49159</v>
      </c>
      <c r="G7" s="55" t="n">
        <v>32.48162</v>
      </c>
      <c r="H7" s="55" t="n">
        <v>113.02915</v>
      </c>
      <c r="I7" s="55" t="n">
        <v>171.82365</v>
      </c>
      <c r="J7" s="32" t="n">
        <f aca="false">IFERROR(F7*FATOR_2016,"n.d.")</f>
        <v>42.617462012082</v>
      </c>
      <c r="K7" s="32" t="n">
        <f aca="false">IFERROR(G7*FATOR_2019,"n.d.")</f>
        <v>45.1991640486443</v>
      </c>
      <c r="L7" s="32" t="n">
        <f aca="false">IFERROR(H7*FATOR_2022,"n.d.")</f>
        <v>129.251767569419</v>
      </c>
      <c r="M7" s="33" t="n">
        <f aca="false">IFERROR(K7/J7-1,"n.d.")</f>
        <v>0.0605785026764478</v>
      </c>
      <c r="N7" s="33" t="n">
        <f aca="false">IFERROR(L7/K7-1,"n.d.")</f>
        <v>1.85960526682121</v>
      </c>
      <c r="O7" s="33" t="n">
        <f aca="false">IFERROR(I7/L7-1,"n.d.")</f>
        <v>0.329371762035798</v>
      </c>
      <c r="P7" s="33" t="n">
        <f aca="false">IFERROR(I7/J7-1,"n.d.")</f>
        <v>3.03176636730006</v>
      </c>
      <c r="Q7" s="32" t="n">
        <f aca="false">IFERROR(I7-F7,"n.d.")</f>
        <v>144.33206</v>
      </c>
      <c r="R7" s="32" t="n">
        <f aca="false">IFERROR(I7-G7,"n.d.")</f>
        <v>139.34203</v>
      </c>
      <c r="S7" s="33" t="n">
        <f aca="false">IFERROR(F7/PIB_2016,"n.d.")</f>
        <v>0.00438509428523987</v>
      </c>
      <c r="T7" s="33" t="n">
        <f aca="false">IFERROR(G7/PIB_2019,"n.d.")</f>
        <v>0.00439586468287002</v>
      </c>
      <c r="U7" s="33" t="n">
        <f aca="false">IFERROR(H7/PIB_2022,"n.d.")</f>
        <v>0.0112135697615677</v>
      </c>
      <c r="V7" s="33" t="n">
        <f aca="false">IFERROR(I7/PIB_2025,"n.d.")</f>
        <v>0.0134884609460751</v>
      </c>
      <c r="W7" s="30" t="s">
        <v>291</v>
      </c>
      <c r="X7" s="30" t="s">
        <v>291</v>
      </c>
      <c r="Y7" s="30" t="s">
        <v>292</v>
      </c>
      <c r="Z7" s="30" t="s">
        <v>291</v>
      </c>
      <c r="AA7" s="30" t="s">
        <v>50</v>
      </c>
      <c r="AB7" s="30" t="s">
        <v>759</v>
      </c>
    </row>
    <row r="8" customFormat="false" ht="32.8" hidden="false" customHeight="false" outlineLevel="0" collapsed="false">
      <c r="A8" s="30" t="s">
        <v>755</v>
      </c>
      <c r="B8" s="30" t="s">
        <v>756</v>
      </c>
      <c r="C8" s="30" t="s">
        <v>760</v>
      </c>
      <c r="D8" s="30" t="s">
        <v>140</v>
      </c>
      <c r="E8" s="30" t="s">
        <v>106</v>
      </c>
      <c r="F8" s="55" t="n">
        <v>0.04616</v>
      </c>
      <c r="G8" s="55" t="n">
        <v>0</v>
      </c>
      <c r="H8" s="55" t="n">
        <v>0</v>
      </c>
      <c r="I8" s="55" t="n">
        <v>0</v>
      </c>
      <c r="J8" s="32" t="n">
        <f aca="false">IFERROR(F8*FATOR_2016,"n.d.")</f>
        <v>0.0715572306468162</v>
      </c>
      <c r="K8" s="32" t="n">
        <f aca="false">IFERROR(G8*FATOR_2019,"n.d.")</f>
        <v>0</v>
      </c>
      <c r="L8" s="32" t="n">
        <f aca="false">IFERROR(H8*FATOR_2022,"n.d.")</f>
        <v>0</v>
      </c>
      <c r="M8" s="33" t="n">
        <f aca="false">IFERROR(K8/J8-1,"n.d.")</f>
        <v>-1</v>
      </c>
      <c r="N8" s="33" t="str">
        <f aca="false">IFERROR(L8/K8-1,"n.d.")</f>
        <v>n.d.</v>
      </c>
      <c r="O8" s="33" t="str">
        <f aca="false">IFERROR(I8/L8-1,"n.d.")</f>
        <v>n.d.</v>
      </c>
      <c r="P8" s="33" t="n">
        <f aca="false">IFERROR(I8/J8-1,"n.d.")</f>
        <v>-1</v>
      </c>
      <c r="Q8" s="32" t="n">
        <f aca="false">IFERROR(I8-F8,"n.d.")</f>
        <v>-0.04616</v>
      </c>
      <c r="R8" s="32" t="n">
        <f aca="false">IFERROR(I8-G8,"n.d.")</f>
        <v>0</v>
      </c>
      <c r="S8" s="33" t="n">
        <f aca="false">IFERROR(F8/PIB_2016,"n.d.")</f>
        <v>7.36283176806697E-006</v>
      </c>
      <c r="T8" s="33" t="n">
        <f aca="false">IFERROR(G8/PIB_2019,"n.d.")</f>
        <v>0</v>
      </c>
      <c r="U8" s="33" t="n">
        <f aca="false">IFERROR(H8/PIB_2022,"n.d.")</f>
        <v>0</v>
      </c>
      <c r="V8" s="33" t="n">
        <f aca="false">IFERROR(I8/PIB_2025,"n.d.")</f>
        <v>0</v>
      </c>
      <c r="W8" s="30" t="s">
        <v>291</v>
      </c>
      <c r="X8" s="30" t="s">
        <v>291</v>
      </c>
      <c r="Y8" s="30" t="s">
        <v>292</v>
      </c>
      <c r="Z8" s="30" t="s">
        <v>291</v>
      </c>
      <c r="AA8" s="30" t="s">
        <v>50</v>
      </c>
      <c r="AB8" s="30" t="s">
        <v>436</v>
      </c>
    </row>
    <row r="9" customFormat="false" ht="43.25" hidden="false" customHeight="false" outlineLevel="0" collapsed="false">
      <c r="A9" s="30" t="s">
        <v>761</v>
      </c>
      <c r="B9" s="30" t="s">
        <v>762</v>
      </c>
      <c r="C9" s="30" t="s">
        <v>763</v>
      </c>
      <c r="D9" s="30" t="s">
        <v>153</v>
      </c>
      <c r="E9" s="30" t="s">
        <v>106</v>
      </c>
      <c r="F9" s="55" t="n">
        <v>28.707</v>
      </c>
      <c r="G9" s="55" t="n">
        <v>32.981</v>
      </c>
      <c r="H9" s="55" t="n">
        <v>88.119</v>
      </c>
      <c r="I9" s="55" t="n">
        <v>158.126</v>
      </c>
      <c r="J9" s="32" t="n">
        <f aca="false">IFERROR(F9*FATOR_2016,"n.d.")</f>
        <v>44.5015905584522</v>
      </c>
      <c r="K9" s="32" t="n">
        <f aca="false">IFERROR(G9*FATOR_2019,"n.d.")</f>
        <v>45.894066536347</v>
      </c>
      <c r="L9" s="32" t="n">
        <f aca="false">IFERROR(H9*FATOR_2022,"n.d.")</f>
        <v>100.766364309115</v>
      </c>
      <c r="M9" s="33" t="n">
        <f aca="false">IFERROR(K9/J9-1,"n.d.")</f>
        <v>0.0312904765969164</v>
      </c>
      <c r="N9" s="33" t="n">
        <f aca="false">IFERROR(L9/K9-1,"n.d.")</f>
        <v>1.19562945526544</v>
      </c>
      <c r="O9" s="33" t="n">
        <f aca="false">IFERROR(I9/L9-1,"n.d.")</f>
        <v>0.569233951072462</v>
      </c>
      <c r="P9" s="33" t="n">
        <f aca="false">IFERROR(I9/J9-1,"n.d.")</f>
        <v>2.5532662544343</v>
      </c>
      <c r="Q9" s="32" t="n">
        <f aca="false">IFERROR(I9-F9,"n.d.")</f>
        <v>129.419</v>
      </c>
      <c r="R9" s="32" t="n">
        <f aca="false">IFERROR(I9-G9,"n.d.")</f>
        <v>125.145</v>
      </c>
      <c r="S9" s="33" t="n">
        <f aca="false">IFERROR(F9/PIB_2016,"n.d.")</f>
        <v>0.00457896038920924</v>
      </c>
      <c r="T9" s="33" t="n">
        <f aca="false">IFERROR(G9/PIB_2019,"n.d.")</f>
        <v>0.00446344773153974</v>
      </c>
      <c r="U9" s="33" t="n">
        <f aca="false">IFERROR(H9/PIB_2022,"n.d.")</f>
        <v>0.00874224528645564</v>
      </c>
      <c r="V9" s="33" t="n">
        <f aca="false">IFERROR(I9/PIB_2025,"n.d.")</f>
        <v>0.0124131711528597</v>
      </c>
      <c r="W9" s="30" t="s">
        <v>764</v>
      </c>
      <c r="X9" s="30" t="s">
        <v>764</v>
      </c>
      <c r="Y9" s="30" t="s">
        <v>764</v>
      </c>
      <c r="Z9" s="30" t="s">
        <v>764</v>
      </c>
      <c r="AA9" s="30" t="s">
        <v>50</v>
      </c>
      <c r="AB9" s="30" t="s">
        <v>765</v>
      </c>
    </row>
    <row r="10" customFormat="false" ht="32.8" hidden="false" customHeight="false" outlineLevel="0" collapsed="false">
      <c r="A10" s="42" t="s">
        <v>766</v>
      </c>
      <c r="B10" s="42" t="s">
        <v>767</v>
      </c>
      <c r="C10" s="42" t="s">
        <v>768</v>
      </c>
      <c r="D10" s="42" t="s">
        <v>105</v>
      </c>
      <c r="E10" s="42" t="s">
        <v>769</v>
      </c>
      <c r="F10" s="64" t="n">
        <v>13.9</v>
      </c>
      <c r="G10" s="65" t="n">
        <v>13.5</v>
      </c>
      <c r="H10" s="65" t="n">
        <v>21.6</v>
      </c>
      <c r="I10" s="65" t="n">
        <v>18.7</v>
      </c>
      <c r="J10" s="44" t="s">
        <v>133</v>
      </c>
      <c r="K10" s="44" t="s">
        <v>133</v>
      </c>
      <c r="L10" s="44" t="s">
        <v>133</v>
      </c>
      <c r="M10" s="45" t="n">
        <f aca="false">IFERROR(G10/F10-1,"n.d.")</f>
        <v>-0.0287769784172662</v>
      </c>
      <c r="N10" s="45" t="n">
        <f aca="false">IFERROR(H10/G10-1,"n.d.")</f>
        <v>0.6</v>
      </c>
      <c r="O10" s="45" t="n">
        <f aca="false">IFERROR(I10/H10-1,"n.d.")</f>
        <v>-0.134259259259259</v>
      </c>
      <c r="P10" s="45" t="n">
        <f aca="false">IFERROR(I10/F10-1,"n.d.")</f>
        <v>0.345323741007194</v>
      </c>
      <c r="Q10" s="66" t="n">
        <f aca="false">IFERROR(I10-F10,"n.d.")</f>
        <v>4.8</v>
      </c>
      <c r="R10" s="66" t="n">
        <f aca="false">IFERROR(I10-G10,"n.d.")</f>
        <v>5.2</v>
      </c>
      <c r="S10" s="45" t="s">
        <v>133</v>
      </c>
      <c r="T10" s="45" t="s">
        <v>133</v>
      </c>
      <c r="U10" s="45" t="s">
        <v>133</v>
      </c>
      <c r="V10" s="45" t="s">
        <v>133</v>
      </c>
      <c r="W10" s="42" t="s">
        <v>770</v>
      </c>
      <c r="X10" s="42" t="s">
        <v>771</v>
      </c>
      <c r="Y10" s="42" t="s">
        <v>772</v>
      </c>
      <c r="Z10" s="42" t="s">
        <v>773</v>
      </c>
      <c r="AA10" s="42" t="s">
        <v>54</v>
      </c>
      <c r="AB10" s="42" t="s">
        <v>774</v>
      </c>
    </row>
    <row r="11" customFormat="false" ht="22.35" hidden="false" customHeight="false" outlineLevel="0" collapsed="false">
      <c r="A11" s="30" t="s">
        <v>775</v>
      </c>
      <c r="B11" s="30" t="s">
        <v>776</v>
      </c>
      <c r="C11" s="30" t="s">
        <v>777</v>
      </c>
      <c r="D11" s="30" t="s">
        <v>105</v>
      </c>
      <c r="E11" s="30" t="s">
        <v>778</v>
      </c>
      <c r="F11" s="59" t="s">
        <v>730</v>
      </c>
      <c r="G11" s="59" t="s">
        <v>730</v>
      </c>
      <c r="H11" s="67" t="n">
        <v>607.14</v>
      </c>
      <c r="I11" s="67" t="n">
        <v>691.37</v>
      </c>
      <c r="J11" s="32" t="s">
        <v>133</v>
      </c>
      <c r="K11" s="32" t="s">
        <v>133</v>
      </c>
      <c r="L11" s="32" t="s">
        <v>133</v>
      </c>
      <c r="M11" s="33" t="str">
        <f aca="false">IFERROR(G11/F11-1,"n.d.")</f>
        <v>n.d.</v>
      </c>
      <c r="N11" s="33" t="str">
        <f aca="false">IFERROR(H11/G11-1,"n.d.")</f>
        <v>n.d.</v>
      </c>
      <c r="O11" s="33" t="n">
        <f aca="false">IFERROR(I11/H11-1,"n.d.")</f>
        <v>0.138732417564318</v>
      </c>
      <c r="P11" s="33" t="str">
        <f aca="false">IFERROR(I11/F11-1,"n.d.")</f>
        <v>n.d.</v>
      </c>
      <c r="Q11" s="68" t="str">
        <f aca="false">IFERROR(I11-F11,"n.d.")</f>
        <v>n.d.</v>
      </c>
      <c r="R11" s="68" t="str">
        <f aca="false">IFERROR(I11-G11,"n.d.")</f>
        <v>n.d.</v>
      </c>
      <c r="S11" s="33" t="s">
        <v>133</v>
      </c>
      <c r="T11" s="33" t="s">
        <v>133</v>
      </c>
      <c r="U11" s="33" t="s">
        <v>133</v>
      </c>
      <c r="V11" s="33" t="s">
        <v>133</v>
      </c>
      <c r="W11" s="30" t="s">
        <v>436</v>
      </c>
      <c r="X11" s="30" t="s">
        <v>436</v>
      </c>
      <c r="Y11" s="30" t="s">
        <v>772</v>
      </c>
      <c r="Z11" s="30" t="s">
        <v>773</v>
      </c>
      <c r="AA11" s="30" t="s">
        <v>50</v>
      </c>
      <c r="AB11" s="30" t="s">
        <v>779</v>
      </c>
    </row>
    <row r="12" customFormat="false" ht="22.35" hidden="false" customHeight="false" outlineLevel="0" collapsed="false">
      <c r="A12" s="30" t="s">
        <v>780</v>
      </c>
      <c r="B12" s="30" t="s">
        <v>781</v>
      </c>
      <c r="C12" s="30" t="s">
        <v>296</v>
      </c>
      <c r="D12" s="30" t="s">
        <v>153</v>
      </c>
      <c r="E12" s="30" t="s">
        <v>106</v>
      </c>
      <c r="F12" s="55" t="n">
        <v>48.99</v>
      </c>
      <c r="G12" s="55" t="n">
        <v>59.728</v>
      </c>
      <c r="H12" s="55" t="n">
        <v>78.827</v>
      </c>
      <c r="I12" s="55" t="n">
        <v>127.236</v>
      </c>
      <c r="J12" s="32" t="n">
        <f aca="false">IFERROR(F12*FATOR_2016,"n.d.")</f>
        <v>75.9442965638545</v>
      </c>
      <c r="K12" s="32" t="n">
        <f aca="false">IFERROR(G12*FATOR_2019,"n.d.")</f>
        <v>83.1133321028147</v>
      </c>
      <c r="L12" s="32" t="n">
        <f aca="false">IFERROR(H12*FATOR_2022,"n.d.")</f>
        <v>90.1407210635008</v>
      </c>
      <c r="M12" s="33" t="n">
        <f aca="false">IFERROR(K12/J12-1,"n.d.")</f>
        <v>0.0943986034939757</v>
      </c>
      <c r="N12" s="33" t="n">
        <f aca="false">IFERROR(L12/K12-1,"n.d.")</f>
        <v>0.0845518857551388</v>
      </c>
      <c r="O12" s="33" t="n">
        <f aca="false">IFERROR(I12/L12-1,"n.d.")</f>
        <v>0.411526316839278</v>
      </c>
      <c r="P12" s="33" t="n">
        <f aca="false">IFERROR(I12/J12-1,"n.d.")</f>
        <v>0.675385851958205</v>
      </c>
      <c r="Q12" s="32" t="n">
        <f aca="false">IFERROR(I12-F12,"n.d.")</f>
        <v>78.246</v>
      </c>
      <c r="R12" s="32" t="n">
        <f aca="false">IFERROR(I12-G12,"n.d.")</f>
        <v>67.508</v>
      </c>
      <c r="S12" s="33" t="n">
        <f aca="false">IFERROR(F12/PIB_2016,"n.d.")</f>
        <v>0.00781423588209707</v>
      </c>
      <c r="T12" s="33" t="n">
        <f aca="false">IFERROR(G12/PIB_2019,"n.d.")</f>
        <v>0.00808322385947684</v>
      </c>
      <c r="U12" s="33" t="n">
        <f aca="false">IFERROR(H12/PIB_2022,"n.d.")</f>
        <v>0.00782039025857577</v>
      </c>
      <c r="V12" s="33" t="n">
        <f aca="false">IFERROR(I12/PIB_2025,"n.d.")</f>
        <v>0.00998825142484641</v>
      </c>
      <c r="W12" s="30" t="s">
        <v>154</v>
      </c>
      <c r="X12" s="30" t="s">
        <v>154</v>
      </c>
      <c r="Y12" s="30" t="s">
        <v>154</v>
      </c>
      <c r="Z12" s="30" t="s">
        <v>154</v>
      </c>
      <c r="AA12" s="30" t="s">
        <v>50</v>
      </c>
      <c r="AB12" s="30" t="s">
        <v>782</v>
      </c>
    </row>
    <row r="13" customFormat="false" ht="32.8" hidden="false" customHeight="false" outlineLevel="0" collapsed="false">
      <c r="A13" s="30" t="s">
        <v>783</v>
      </c>
      <c r="B13" s="30" t="s">
        <v>784</v>
      </c>
      <c r="C13" s="30" t="s">
        <v>757</v>
      </c>
      <c r="D13" s="30" t="s">
        <v>140</v>
      </c>
      <c r="E13" s="30" t="s">
        <v>275</v>
      </c>
      <c r="F13" s="55" t="n">
        <v>1006.67</v>
      </c>
      <c r="G13" s="55" t="n">
        <v>1060.91</v>
      </c>
      <c r="H13" s="55" t="n">
        <v>985.75</v>
      </c>
      <c r="I13" s="55" t="n">
        <v>1322.53</v>
      </c>
      <c r="J13" s="32" t="n">
        <f aca="false">IFERROR(F13*FATOR_2016,"n.d.")</f>
        <v>1560.53980448939</v>
      </c>
      <c r="K13" s="32" t="n">
        <f aca="false">IFERROR(G13*FATOR_2019,"n.d.")</f>
        <v>1476.28859431418</v>
      </c>
      <c r="L13" s="32" t="n">
        <f aca="false">IFERROR(H13*FATOR_2022,"n.d.")</f>
        <v>1127.23071775338</v>
      </c>
      <c r="M13" s="33" t="n">
        <f aca="false">IFERROR(K13/J13-1,"n.d.")</f>
        <v>-0.0539885044475261</v>
      </c>
      <c r="N13" s="33" t="n">
        <f aca="false">IFERROR(L13/K13-1,"n.d.")</f>
        <v>-0.236442845867106</v>
      </c>
      <c r="O13" s="33" t="n">
        <f aca="false">IFERROR(I13/L13-1,"n.d.")</f>
        <v>0.173255819922878</v>
      </c>
      <c r="P13" s="33" t="n">
        <f aca="false">IFERROR(I13/J13-1,"n.d.")</f>
        <v>-0.152517612049807</v>
      </c>
      <c r="Q13" s="32" t="n">
        <f aca="false">IFERROR(I13-F13,"n.d.")</f>
        <v>315.86</v>
      </c>
      <c r="R13" s="32" t="n">
        <f aca="false">IFERROR(I13-G13,"n.d.")</f>
        <v>261.62</v>
      </c>
      <c r="S13" s="33" t="n">
        <f aca="false">IFERROR(F13/1000/PIB_2016,"n.d.")</f>
        <v>0.000160570664123916</v>
      </c>
      <c r="T13" s="33" t="n">
        <f aca="false">IFERROR(G13/1000/PIB_2019,"n.d.")</f>
        <v>0.00014357709993232</v>
      </c>
      <c r="U13" s="33" t="n">
        <f aca="false">IFERROR(H13/1000/PIB_2022,"n.d.")</f>
        <v>9.7795802166657E-005</v>
      </c>
      <c r="V13" s="33" t="n">
        <f aca="false">IFERROR(I13/1000/PIB_2025,"n.d.")</f>
        <v>0.000103820948134978</v>
      </c>
      <c r="W13" s="30" t="s">
        <v>300</v>
      </c>
      <c r="X13" s="30" t="s">
        <v>300</v>
      </c>
      <c r="Y13" s="30" t="s">
        <v>300</v>
      </c>
      <c r="Z13" s="30" t="s">
        <v>300</v>
      </c>
      <c r="AA13" s="30" t="s">
        <v>50</v>
      </c>
      <c r="AB13" s="30" t="s">
        <v>758</v>
      </c>
    </row>
    <row r="14" customFormat="false" ht="22.35" hidden="false" customHeight="false" outlineLevel="0" collapsed="false">
      <c r="A14" s="30" t="s">
        <v>783</v>
      </c>
      <c r="B14" s="30" t="s">
        <v>784</v>
      </c>
      <c r="C14" s="30" t="s">
        <v>693</v>
      </c>
      <c r="D14" s="30" t="s">
        <v>140</v>
      </c>
      <c r="E14" s="30" t="s">
        <v>275</v>
      </c>
      <c r="F14" s="55" t="n">
        <v>951.87</v>
      </c>
      <c r="G14" s="55" t="n">
        <v>1053.04</v>
      </c>
      <c r="H14" s="55" t="n">
        <v>983.97</v>
      </c>
      <c r="I14" s="55" t="n">
        <v>1443.22</v>
      </c>
      <c r="J14" s="32" t="n">
        <f aca="false">IFERROR(F14*FATOR_2016,"n.d.")</f>
        <v>1475.58884609586</v>
      </c>
      <c r="K14" s="32" t="n">
        <f aca="false">IFERROR(G14*FATOR_2019,"n.d.")</f>
        <v>1465.33724949016</v>
      </c>
      <c r="L14" s="32" t="n">
        <f aca="false">IFERROR(H14*FATOR_2022,"n.d.")</f>
        <v>1125.19524153974</v>
      </c>
      <c r="M14" s="33" t="n">
        <f aca="false">IFERROR(K14/J14-1,"n.d.")</f>
        <v>-0.00694746143739755</v>
      </c>
      <c r="N14" s="33" t="n">
        <f aca="false">IFERROR(L14/K14-1,"n.d.")</f>
        <v>-0.232125408719915</v>
      </c>
      <c r="O14" s="33" t="n">
        <f aca="false">IFERROR(I14/L14-1,"n.d.")</f>
        <v>0.282639622635687</v>
      </c>
      <c r="P14" s="33" t="n">
        <f aca="false">IFERROR(I14/J14-1,"n.d.")</f>
        <v>-0.0219362230756233</v>
      </c>
      <c r="Q14" s="32" t="n">
        <f aca="false">IFERROR(I14-F14,"n.d.")</f>
        <v>491.35</v>
      </c>
      <c r="R14" s="32" t="n">
        <f aca="false">IFERROR(I14-G14,"n.d.")</f>
        <v>390.18</v>
      </c>
      <c r="S14" s="33" t="n">
        <f aca="false">IFERROR(F14/1000/PIB_2016,"n.d.")</f>
        <v>0.000151829694000648</v>
      </c>
      <c r="T14" s="33" t="n">
        <f aca="false">IFERROR(G14/1000/PIB_2019,"n.d.")</f>
        <v>0.000142512022049684</v>
      </c>
      <c r="U14" s="33" t="n">
        <f aca="false">IFERROR(H14/1000/PIB_2022,"n.d.")</f>
        <v>9.76192091888668E-005</v>
      </c>
      <c r="V14" s="33" t="n">
        <f aca="false">IFERROR(I14/1000/PIB_2025,"n.d.")</f>
        <v>0.000113295326962234</v>
      </c>
      <c r="W14" s="30" t="s">
        <v>300</v>
      </c>
      <c r="X14" s="30" t="s">
        <v>300</v>
      </c>
      <c r="Y14" s="30" t="s">
        <v>300</v>
      </c>
      <c r="Z14" s="30" t="s">
        <v>300</v>
      </c>
      <c r="AA14" s="30" t="s">
        <v>50</v>
      </c>
      <c r="AB14" s="30" t="s">
        <v>436</v>
      </c>
    </row>
    <row r="15" customFormat="false" ht="22.35" hidden="false" customHeight="false" outlineLevel="0" collapsed="false">
      <c r="A15" s="30" t="s">
        <v>783</v>
      </c>
      <c r="B15" s="30" t="s">
        <v>784</v>
      </c>
      <c r="C15" s="30" t="s">
        <v>694</v>
      </c>
      <c r="D15" s="30" t="s">
        <v>140</v>
      </c>
      <c r="E15" s="30" t="s">
        <v>275</v>
      </c>
      <c r="F15" s="55" t="n">
        <v>814.25</v>
      </c>
      <c r="G15" s="55" t="n">
        <v>881.67</v>
      </c>
      <c r="H15" s="55" t="n">
        <v>826.78</v>
      </c>
      <c r="I15" s="55" t="n">
        <v>1270.9</v>
      </c>
      <c r="J15" s="32" t="n">
        <f aca="false">IFERROR(F15*FATOR_2016,"n.d.")</f>
        <v>1262.2503261302</v>
      </c>
      <c r="K15" s="32" t="n">
        <f aca="false">IFERROR(G15*FATOR_2019,"n.d.")</f>
        <v>1226.87067229923</v>
      </c>
      <c r="L15" s="32" t="n">
        <f aca="false">IFERROR(H15*FATOR_2022,"n.d.")</f>
        <v>945.444395459439</v>
      </c>
      <c r="M15" s="33" t="n">
        <f aca="false">IFERROR(K15/J15-1,"n.d.")</f>
        <v>-0.028029031245675</v>
      </c>
      <c r="N15" s="33" t="n">
        <f aca="false">IFERROR(L15/K15-1,"n.d.")</f>
        <v>-0.229385446399484</v>
      </c>
      <c r="O15" s="33" t="n">
        <f aca="false">IFERROR(I15/L15-1,"n.d.")</f>
        <v>0.344235584983722</v>
      </c>
      <c r="P15" s="33" t="n">
        <f aca="false">IFERROR(I15/J15-1,"n.d.")</f>
        <v>0.0068525820043297</v>
      </c>
      <c r="Q15" s="32" t="n">
        <f aca="false">IFERROR(I15-F15,"n.d.")</f>
        <v>456.65</v>
      </c>
      <c r="R15" s="32" t="n">
        <f aca="false">IFERROR(I15-G15,"n.d.")</f>
        <v>389.23</v>
      </c>
      <c r="S15" s="33" t="n">
        <f aca="false">IFERROR(F15/1000/PIB_2016,"n.d.")</f>
        <v>0.000129878374504951</v>
      </c>
      <c r="T15" s="33" t="n">
        <f aca="false">IFERROR(G15/1000/PIB_2019,"n.d.")</f>
        <v>0.000119319849654851</v>
      </c>
      <c r="U15" s="33" t="n">
        <f aca="false">IFERROR(H15/1000/PIB_2022,"n.d.")</f>
        <v>8.20244618973864E-005</v>
      </c>
      <c r="V15" s="33" t="n">
        <f aca="false">IFERROR(I15/1000/PIB_2025,"n.d.")</f>
        <v>9.97679016617726E-005</v>
      </c>
      <c r="W15" s="30" t="s">
        <v>300</v>
      </c>
      <c r="X15" s="30" t="s">
        <v>300</v>
      </c>
      <c r="Y15" s="30" t="s">
        <v>300</v>
      </c>
      <c r="Z15" s="30" t="s">
        <v>300</v>
      </c>
      <c r="AA15" s="30" t="s">
        <v>50</v>
      </c>
      <c r="AB15" s="30" t="s">
        <v>436</v>
      </c>
    </row>
    <row r="16" customFormat="false" ht="22.35" hidden="false" customHeight="false" outlineLevel="0" collapsed="false">
      <c r="A16" s="30" t="s">
        <v>783</v>
      </c>
      <c r="B16" s="30" t="s">
        <v>784</v>
      </c>
      <c r="C16" s="30" t="s">
        <v>287</v>
      </c>
      <c r="D16" s="30" t="s">
        <v>140</v>
      </c>
      <c r="E16" s="30" t="s">
        <v>275</v>
      </c>
      <c r="F16" s="55" t="n">
        <v>810.1</v>
      </c>
      <c r="G16" s="55" t="n">
        <v>867.39</v>
      </c>
      <c r="H16" s="55" t="n">
        <v>818.34</v>
      </c>
      <c r="I16" s="55" t="n">
        <v>1242.07</v>
      </c>
      <c r="J16" s="32" t="n">
        <f aca="false">IFERROR(F16*FATOR_2016,"n.d.")</f>
        <v>1255.81699625186</v>
      </c>
      <c r="K16" s="32" t="n">
        <f aca="false">IFERROR(G16*FATOR_2019,"n.d.")</f>
        <v>1206.99961714205</v>
      </c>
      <c r="L16" s="32" t="n">
        <f aca="false">IFERROR(H16*FATOR_2022,"n.d.")</f>
        <v>935.793036334064</v>
      </c>
      <c r="M16" s="33" t="n">
        <f aca="false">IFERROR(K16/J16-1,"n.d.")</f>
        <v>-0.0388730039930247</v>
      </c>
      <c r="N16" s="33" t="n">
        <f aca="false">IFERROR(L16/K16-1,"n.d.")</f>
        <v>-0.224694835819546</v>
      </c>
      <c r="O16" s="33" t="n">
        <f aca="false">IFERROR(I16/L16-1,"n.d.")</f>
        <v>0.327291347310902</v>
      </c>
      <c r="P16" s="33" t="n">
        <f aca="false">IFERROR(I16/J16-1,"n.d.")</f>
        <v>-0.0109466556774499</v>
      </c>
      <c r="Q16" s="32" t="n">
        <f aca="false">IFERROR(I16-F16,"n.d.")</f>
        <v>431.97</v>
      </c>
      <c r="R16" s="32" t="n">
        <f aca="false">IFERROR(I16-G16,"n.d.")</f>
        <v>374.68</v>
      </c>
      <c r="S16" s="33" t="n">
        <f aca="false">IFERROR(F16/1000/PIB_2016,"n.d.")</f>
        <v>0.000129216421475543</v>
      </c>
      <c r="T16" s="33" t="n">
        <f aca="false">IFERROR(G16/1000/PIB_2019,"n.d.")</f>
        <v>0.000117387281400208</v>
      </c>
      <c r="U16" s="33" t="n">
        <f aca="false">IFERROR(H16/1000/PIB_2022,"n.d.")</f>
        <v>8.11871333959544E-005</v>
      </c>
      <c r="V16" s="33" t="n">
        <f aca="false">IFERROR(I16/1000/PIB_2025,"n.d.")</f>
        <v>9.75046955834746E-005</v>
      </c>
      <c r="W16" s="30" t="s">
        <v>300</v>
      </c>
      <c r="X16" s="30" t="s">
        <v>300</v>
      </c>
      <c r="Y16" s="30" t="s">
        <v>300</v>
      </c>
      <c r="Z16" s="30" t="s">
        <v>300</v>
      </c>
      <c r="AA16" s="30" t="s">
        <v>50</v>
      </c>
      <c r="AB16" s="30" t="s">
        <v>436</v>
      </c>
    </row>
    <row r="17" customFormat="false" ht="22.35" hidden="false" customHeight="false" outlineLevel="0" collapsed="false">
      <c r="A17" s="30" t="s">
        <v>783</v>
      </c>
      <c r="B17" s="30" t="s">
        <v>784</v>
      </c>
      <c r="C17" s="30" t="s">
        <v>760</v>
      </c>
      <c r="D17" s="30" t="s">
        <v>140</v>
      </c>
      <c r="E17" s="30" t="s">
        <v>275</v>
      </c>
      <c r="F17" s="55" t="n">
        <v>133.37</v>
      </c>
      <c r="G17" s="55" t="n">
        <v>124.22</v>
      </c>
      <c r="H17" s="55" t="n">
        <v>167.92</v>
      </c>
      <c r="I17" s="55" t="n">
        <v>185.32</v>
      </c>
      <c r="J17" s="32" t="n">
        <f aca="false">IFERROR(F17*FATOR_2016,"n.d.")</f>
        <v>206.750170090249</v>
      </c>
      <c r="K17" s="32" t="n">
        <f aca="false">IFERROR(G17*FATOR_2019,"n.d.")</f>
        <v>172.855915379916</v>
      </c>
      <c r="L17" s="32" t="n">
        <f aca="false">IFERROR(H17*FATOR_2022,"n.d.")</f>
        <v>192.020879660307</v>
      </c>
      <c r="M17" s="33" t="n">
        <f aca="false">IFERROR(K17/J17-1,"n.d.")</f>
        <v>-0.163938219231148</v>
      </c>
      <c r="N17" s="33" t="n">
        <f aca="false">IFERROR(L17/K17-1,"n.d.")</f>
        <v>0.110872481501537</v>
      </c>
      <c r="O17" s="33" t="n">
        <f aca="false">IFERROR(I17/L17-1,"n.d.")</f>
        <v>-0.0348966199517552</v>
      </c>
      <c r="P17" s="33" t="n">
        <f aca="false">IFERROR(I17/J17-1,"n.d.")</f>
        <v>-0.103652490737464</v>
      </c>
      <c r="Q17" s="32" t="n">
        <f aca="false">IFERROR(I17-F17,"n.d.")</f>
        <v>51.95</v>
      </c>
      <c r="R17" s="32" t="n">
        <f aca="false">IFERROR(I17-G17,"n.d.")</f>
        <v>61.1</v>
      </c>
      <c r="S17" s="33" t="n">
        <f aca="false">IFERROR(F17/1000/PIB_2016,"n.d.")</f>
        <v>2.12734157908815E-005</v>
      </c>
      <c r="T17" s="33" t="n">
        <f aca="false">IFERROR(G17/1000/PIB_2019,"n.d.")</f>
        <v>1.68111784728136E-005</v>
      </c>
      <c r="U17" s="33" t="n">
        <f aca="false">IFERROR(H17/1000/PIB_2022,"n.d.")</f>
        <v>1.66592656351256E-005</v>
      </c>
      <c r="V17" s="33" t="n">
        <f aca="false">IFERROR(I17/1000/PIB_2025,"n.d.")</f>
        <v>1.45479483326459E-005</v>
      </c>
      <c r="W17" s="30" t="s">
        <v>300</v>
      </c>
      <c r="X17" s="30" t="s">
        <v>300</v>
      </c>
      <c r="Y17" s="30" t="s">
        <v>300</v>
      </c>
      <c r="Z17" s="30" t="s">
        <v>300</v>
      </c>
      <c r="AA17" s="30" t="s">
        <v>50</v>
      </c>
      <c r="AB17" s="30" t="s">
        <v>436</v>
      </c>
    </row>
    <row r="18" customFormat="false" ht="32.8" hidden="false" customHeight="false" outlineLevel="0" collapsed="false">
      <c r="A18" s="30" t="s">
        <v>785</v>
      </c>
      <c r="B18" s="30" t="s">
        <v>786</v>
      </c>
      <c r="C18" s="30" t="s">
        <v>757</v>
      </c>
      <c r="D18" s="30" t="s">
        <v>140</v>
      </c>
      <c r="E18" s="30" t="s">
        <v>275</v>
      </c>
      <c r="F18" s="55" t="n">
        <v>442.28</v>
      </c>
      <c r="G18" s="55" t="n">
        <v>492.61</v>
      </c>
      <c r="H18" s="55" t="n">
        <v>531.99</v>
      </c>
      <c r="I18" s="55" t="n">
        <v>627.91</v>
      </c>
      <c r="J18" s="32" t="n">
        <f aca="false">IFERROR(F18*FATOR_2016,"n.d.")</f>
        <v>685.622443034529</v>
      </c>
      <c r="K18" s="32" t="n">
        <f aca="false">IFERROR(G18*FATOR_2019,"n.d.")</f>
        <v>685.481826399136</v>
      </c>
      <c r="L18" s="32" t="n">
        <f aca="false">IFERROR(H18*FATOR_2022,"n.d.")</f>
        <v>608.344376908569</v>
      </c>
      <c r="M18" s="33" t="n">
        <f aca="false">IFERROR(K18/J18-1,"n.d.")</f>
        <v>-0.000205093396259182</v>
      </c>
      <c r="N18" s="33" t="n">
        <f aca="false">IFERROR(L18/K18-1,"n.d.")</f>
        <v>-0.112530261955699</v>
      </c>
      <c r="O18" s="33" t="n">
        <f aca="false">IFERROR(I18/L18-1,"n.d.")</f>
        <v>0.0321620842307402</v>
      </c>
      <c r="P18" s="33" t="n">
        <f aca="false">IFERROR(I18/J18-1,"n.d.")</f>
        <v>-0.0841752536266123</v>
      </c>
      <c r="Q18" s="32" t="n">
        <f aca="false">IFERROR(I18-F18,"n.d.")</f>
        <v>185.63</v>
      </c>
      <c r="R18" s="32" t="n">
        <f aca="false">IFERROR(I18-G18,"n.d.")</f>
        <v>135.3</v>
      </c>
      <c r="S18" s="33" t="n">
        <f aca="false">IFERROR(F18/1000/PIB_2016,"n.d.")</f>
        <v>7.05466471919554E-005</v>
      </c>
      <c r="T18" s="33" t="n">
        <f aca="false">IFERROR(G18/1000/PIB_2019,"n.d.")</f>
        <v>6.66668380896211E-005</v>
      </c>
      <c r="U18" s="33" t="n">
        <f aca="false">IFERROR(H18/1000/PIB_2022,"n.d.")</f>
        <v>5.27784821654982E-005</v>
      </c>
      <c r="V18" s="33" t="n">
        <f aca="false">IFERROR(I18/1000/PIB_2025,"n.d.")</f>
        <v>4.92920474722194E-005</v>
      </c>
      <c r="W18" s="30" t="s">
        <v>787</v>
      </c>
      <c r="X18" s="30" t="s">
        <v>787</v>
      </c>
      <c r="Y18" s="30" t="s">
        <v>787</v>
      </c>
      <c r="Z18" s="30" t="s">
        <v>787</v>
      </c>
      <c r="AA18" s="30" t="s">
        <v>50</v>
      </c>
      <c r="AB18" s="30" t="s">
        <v>758</v>
      </c>
    </row>
    <row r="19" customFormat="false" ht="22.35" hidden="false" customHeight="false" outlineLevel="0" collapsed="false">
      <c r="A19" s="30" t="s">
        <v>785</v>
      </c>
      <c r="B19" s="30" t="s">
        <v>786</v>
      </c>
      <c r="C19" s="30" t="s">
        <v>693</v>
      </c>
      <c r="D19" s="30" t="s">
        <v>140</v>
      </c>
      <c r="E19" s="30" t="s">
        <v>275</v>
      </c>
      <c r="F19" s="55" t="n">
        <v>420.67</v>
      </c>
      <c r="G19" s="55" t="n">
        <v>487.06</v>
      </c>
      <c r="H19" s="55" t="n">
        <v>528.12</v>
      </c>
      <c r="I19" s="55" t="n">
        <v>688.86</v>
      </c>
      <c r="J19" s="32" t="n">
        <f aca="false">IFERROR(F19*FATOR_2016,"n.d.")</f>
        <v>652.122621668028</v>
      </c>
      <c r="K19" s="32" t="n">
        <f aca="false">IFERROR(G19*FATOR_2019,"n.d.")</f>
        <v>677.75883227292</v>
      </c>
      <c r="L19" s="32" t="n">
        <f aca="false">IFERROR(H19*FATOR_2022,"n.d.")</f>
        <v>603.918931432835</v>
      </c>
      <c r="M19" s="33" t="n">
        <f aca="false">IFERROR(K19/J19-1,"n.d.")</f>
        <v>0.0393119480187918</v>
      </c>
      <c r="N19" s="33" t="n">
        <f aca="false">IFERROR(L19/K19-1,"n.d.")</f>
        <v>-0.108947161326481</v>
      </c>
      <c r="O19" s="33" t="n">
        <f aca="false">IFERROR(I19/L19-1,"n.d.")</f>
        <v>0.140649786165235</v>
      </c>
      <c r="P19" s="33" t="n">
        <f aca="false">IFERROR(I19/J19-1,"n.d.")</f>
        <v>0.0563350773478823</v>
      </c>
      <c r="Q19" s="32" t="n">
        <f aca="false">IFERROR(I19-F19,"n.d.")</f>
        <v>268.19</v>
      </c>
      <c r="R19" s="32" t="n">
        <f aca="false">IFERROR(I19-G19,"n.d.")</f>
        <v>201.8</v>
      </c>
      <c r="S19" s="33" t="n">
        <f aca="false">IFERROR(F19/1000/PIB_2016,"n.d.")</f>
        <v>6.7099706236411E-005</v>
      </c>
      <c r="T19" s="33" t="n">
        <f aca="false">IFERROR(G19/1000/PIB_2019,"n.d.")</f>
        <v>6.59157348814089E-005</v>
      </c>
      <c r="U19" s="33" t="n">
        <f aca="false">IFERROR(H19/1000/PIB_2022,"n.d.")</f>
        <v>5.23945412531117E-005</v>
      </c>
      <c r="V19" s="33" t="n">
        <f aca="false">IFERROR(I19/1000/PIB_2025,"n.d.")</f>
        <v>5.40767304577297E-005</v>
      </c>
      <c r="W19" s="30" t="s">
        <v>787</v>
      </c>
      <c r="X19" s="30" t="s">
        <v>787</v>
      </c>
      <c r="Y19" s="30" t="s">
        <v>787</v>
      </c>
      <c r="Z19" s="30" t="s">
        <v>787</v>
      </c>
      <c r="AA19" s="30" t="s">
        <v>50</v>
      </c>
      <c r="AB19" s="30" t="s">
        <v>436</v>
      </c>
    </row>
    <row r="20" customFormat="false" ht="22.35" hidden="false" customHeight="false" outlineLevel="0" collapsed="false">
      <c r="A20" s="30" t="s">
        <v>785</v>
      </c>
      <c r="B20" s="30" t="s">
        <v>786</v>
      </c>
      <c r="C20" s="30" t="s">
        <v>694</v>
      </c>
      <c r="D20" s="30" t="s">
        <v>140</v>
      </c>
      <c r="E20" s="30" t="s">
        <v>275</v>
      </c>
      <c r="F20" s="55" t="n">
        <v>345.74</v>
      </c>
      <c r="G20" s="55" t="n">
        <v>399.44</v>
      </c>
      <c r="H20" s="55" t="n">
        <v>429.14</v>
      </c>
      <c r="I20" s="55" t="n">
        <v>591.02</v>
      </c>
      <c r="J20" s="32" t="n">
        <f aca="false">IFERROR(F20*FATOR_2016,"n.d.")</f>
        <v>535.966137864606</v>
      </c>
      <c r="K20" s="32" t="n">
        <f aca="false">IFERROR(G20*FATOR_2019,"n.d.")</f>
        <v>555.832932211832</v>
      </c>
      <c r="L20" s="32" t="n">
        <f aca="false">IFERROR(H20*FATOR_2022,"n.d.")</f>
        <v>490.732731642594</v>
      </c>
      <c r="M20" s="33" t="n">
        <f aca="false">IFERROR(K20/J20-1,"n.d.")</f>
        <v>0.0370672565740422</v>
      </c>
      <c r="N20" s="33" t="n">
        <f aca="false">IFERROR(L20/K20-1,"n.d.")</f>
        <v>-0.117121884646497</v>
      </c>
      <c r="O20" s="33" t="n">
        <f aca="false">IFERROR(I20/L20-1,"n.d.")</f>
        <v>0.20436229721568</v>
      </c>
      <c r="P20" s="33" t="n">
        <f aca="false">IFERROR(I20/J20-1,"n.d.")</f>
        <v>0.102718918689041</v>
      </c>
      <c r="Q20" s="32" t="n">
        <f aca="false">IFERROR(I20-F20,"n.d.")</f>
        <v>245.28</v>
      </c>
      <c r="R20" s="32" t="n">
        <f aca="false">IFERROR(I20-G20,"n.d.")</f>
        <v>191.58</v>
      </c>
      <c r="S20" s="33" t="n">
        <f aca="false">IFERROR(F20/1000/PIB_2016,"n.d.")</f>
        <v>5.51478651536281E-005</v>
      </c>
      <c r="T20" s="33" t="n">
        <f aca="false">IFERROR(G20/1000/PIB_2019,"n.d.")</f>
        <v>5.40577775654539E-005</v>
      </c>
      <c r="U20" s="33" t="n">
        <f aca="false">IFERROR(H20/1000/PIB_2022,"n.d.")</f>
        <v>4.25747811735219E-005</v>
      </c>
      <c r="V20" s="33" t="n">
        <f aca="false">IFERROR(I20/1000/PIB_2025,"n.d.")</f>
        <v>4.63961171139671E-005</v>
      </c>
      <c r="W20" s="30" t="s">
        <v>787</v>
      </c>
      <c r="X20" s="30" t="s">
        <v>787</v>
      </c>
      <c r="Y20" s="30" t="s">
        <v>787</v>
      </c>
      <c r="Z20" s="30" t="s">
        <v>787</v>
      </c>
      <c r="AA20" s="30" t="s">
        <v>50</v>
      </c>
      <c r="AB20" s="30" t="s">
        <v>436</v>
      </c>
    </row>
    <row r="21" customFormat="false" ht="22.35" hidden="false" customHeight="false" outlineLevel="0" collapsed="false">
      <c r="A21" s="30" t="s">
        <v>785</v>
      </c>
      <c r="B21" s="30" t="s">
        <v>786</v>
      </c>
      <c r="C21" s="30" t="s">
        <v>287</v>
      </c>
      <c r="D21" s="30" t="s">
        <v>140</v>
      </c>
      <c r="E21" s="30" t="s">
        <v>275</v>
      </c>
      <c r="F21" s="55" t="n">
        <v>340.18</v>
      </c>
      <c r="G21" s="55" t="n">
        <v>391.6</v>
      </c>
      <c r="H21" s="55" t="n">
        <v>421.17</v>
      </c>
      <c r="I21" s="55" t="n">
        <v>575.2</v>
      </c>
      <c r="J21" s="32" t="n">
        <f aca="false">IFERROR(F21*FATOR_2016,"n.d.")</f>
        <v>527.347026027598</v>
      </c>
      <c r="K21" s="32" t="n">
        <f aca="false">IFERROR(G21*FATOR_2019,"n.d.")</f>
        <v>544.923333302007</v>
      </c>
      <c r="L21" s="32" t="n">
        <f aca="false">IFERROR(H21*FATOR_2022,"n.d.")</f>
        <v>481.618829719698</v>
      </c>
      <c r="M21" s="33" t="n">
        <f aca="false">IFERROR(K21/J21-1,"n.d.")</f>
        <v>0.0333296793324263</v>
      </c>
      <c r="N21" s="33" t="n">
        <f aca="false">IFERROR(L21/K21-1,"n.d.")</f>
        <v>-0.11617139460465</v>
      </c>
      <c r="O21" s="33" t="n">
        <f aca="false">IFERROR(I21/L21-1,"n.d.")</f>
        <v>0.194305464208628</v>
      </c>
      <c r="P21" s="33" t="n">
        <f aca="false">IFERROR(I21/J21-1,"n.d.")</f>
        <v>0.0907428535870753</v>
      </c>
      <c r="Q21" s="32" t="n">
        <f aca="false">IFERROR(I21-F21,"n.d.")</f>
        <v>235.02</v>
      </c>
      <c r="R21" s="32" t="n">
        <f aca="false">IFERROR(I21-G21,"n.d.")</f>
        <v>183.6</v>
      </c>
      <c r="S21" s="33" t="n">
        <f aca="false">IFERROR(F21/1000/PIB_2016,"n.d.")</f>
        <v>5.42610076009753E-005</v>
      </c>
      <c r="T21" s="33" t="n">
        <f aca="false">IFERROR(G21/1000/PIB_2019,"n.d.")</f>
        <v>5.29967597001596E-005</v>
      </c>
      <c r="U21" s="33" t="n">
        <f aca="false">IFERROR(H21/1000/PIB_2022,"n.d.")</f>
        <v>4.17840811549895E-005</v>
      </c>
      <c r="V21" s="33" t="n">
        <f aca="false">IFERROR(I21/1000/PIB_2025,"n.d.")</f>
        <v>4.51542190855705E-005</v>
      </c>
      <c r="W21" s="30" t="s">
        <v>787</v>
      </c>
      <c r="X21" s="30" t="s">
        <v>787</v>
      </c>
      <c r="Y21" s="30" t="s">
        <v>787</v>
      </c>
      <c r="Z21" s="30" t="s">
        <v>787</v>
      </c>
      <c r="AA21" s="30" t="s">
        <v>50</v>
      </c>
      <c r="AB21" s="30" t="s">
        <v>436</v>
      </c>
    </row>
    <row r="22" customFormat="false" ht="22.35" hidden="false" customHeight="false" outlineLevel="0" collapsed="false">
      <c r="A22" s="30" t="s">
        <v>785</v>
      </c>
      <c r="B22" s="30" t="s">
        <v>786</v>
      </c>
      <c r="C22" s="30" t="s">
        <v>760</v>
      </c>
      <c r="D22" s="30" t="s">
        <v>140</v>
      </c>
      <c r="E22" s="30" t="s">
        <v>275</v>
      </c>
      <c r="F22" s="55" t="n">
        <v>64.16</v>
      </c>
      <c r="G22" s="55" t="n">
        <v>69.88</v>
      </c>
      <c r="H22" s="55" t="n">
        <v>93.41</v>
      </c>
      <c r="I22" s="55" t="n">
        <v>106.5</v>
      </c>
      <c r="J22" s="32" t="n">
        <f aca="false">IFERROR(F22*FATOR_2016,"n.d.")</f>
        <v>99.4608301191448</v>
      </c>
      <c r="K22" s="32" t="n">
        <f aca="false">IFERROR(G22*FATOR_2019,"n.d.")</f>
        <v>97.2401494666604</v>
      </c>
      <c r="L22" s="32" t="n">
        <f aca="false">IFERROR(H22*FATOR_2022,"n.d.")</f>
        <v>106.816760177878</v>
      </c>
      <c r="M22" s="33" t="n">
        <f aca="false">IFERROR(K22/J22-1,"n.d.")</f>
        <v>-0.0223271879977703</v>
      </c>
      <c r="N22" s="33" t="n">
        <f aca="false">IFERROR(L22/K22-1,"n.d.")</f>
        <v>0.0984841216693244</v>
      </c>
      <c r="O22" s="33" t="n">
        <f aca="false">IFERROR(I22/L22-1,"n.d.")</f>
        <v>-0.0029654538983469</v>
      </c>
      <c r="P22" s="33" t="n">
        <f aca="false">IFERROR(I22/J22-1,"n.d.")</f>
        <v>0.0707732870560489</v>
      </c>
      <c r="Q22" s="32" t="n">
        <f aca="false">IFERROR(I22-F22,"n.d.")</f>
        <v>42.34</v>
      </c>
      <c r="R22" s="32" t="n">
        <f aca="false">IFERROR(I22-G22,"n.d.")</f>
        <v>36.62</v>
      </c>
      <c r="S22" s="33" t="n">
        <f aca="false">IFERROR(F22/1000/PIB_2016,"n.d.")</f>
        <v>1.02339533414033E-005</v>
      </c>
      <c r="T22" s="33" t="n">
        <f aca="false">IFERROR(G22/1000/PIB_2019,"n.d.")</f>
        <v>9.45713372790386E-006</v>
      </c>
      <c r="U22" s="33" t="n">
        <f aca="false">IFERROR(H22/1000/PIB_2022,"n.d.")</f>
        <v>9.26716295245998E-006</v>
      </c>
      <c r="V22" s="33" t="n">
        <f aca="false">IFERROR(I22/1000/PIB_2025,"n.d.")</f>
        <v>8.36043868674072E-006</v>
      </c>
      <c r="W22" s="30" t="s">
        <v>787</v>
      </c>
      <c r="X22" s="30" t="s">
        <v>787</v>
      </c>
      <c r="Y22" s="30" t="s">
        <v>787</v>
      </c>
      <c r="Z22" s="30" t="s">
        <v>787</v>
      </c>
      <c r="AA22" s="30" t="s">
        <v>50</v>
      </c>
      <c r="AB22" s="30" t="s">
        <v>436</v>
      </c>
    </row>
    <row r="23" customFormat="false" ht="32.8" hidden="false" customHeight="false" outlineLevel="0" collapsed="false">
      <c r="A23" s="30" t="s">
        <v>788</v>
      </c>
      <c r="B23" s="30" t="s">
        <v>789</v>
      </c>
      <c r="C23" s="30" t="s">
        <v>757</v>
      </c>
      <c r="D23" s="30" t="s">
        <v>140</v>
      </c>
      <c r="E23" s="30" t="s">
        <v>275</v>
      </c>
      <c r="F23" s="55" t="n">
        <v>162</v>
      </c>
      <c r="G23" s="55" t="n">
        <v>184.58</v>
      </c>
      <c r="H23" s="55" t="n">
        <v>144.03</v>
      </c>
      <c r="I23" s="55" t="n">
        <v>377.74</v>
      </c>
      <c r="J23" s="32" t="n">
        <f aca="false">IFERROR(F23*FATOR_2016,"n.d.")</f>
        <v>251.132395250958</v>
      </c>
      <c r="K23" s="32" t="n">
        <f aca="false">IFERROR(G23*FATOR_2019,"n.d.")</f>
        <v>256.848694741788</v>
      </c>
      <c r="L23" s="32" t="n">
        <f aca="false">IFERROR(H23*FATOR_2022,"n.d.")</f>
        <v>164.702044410875</v>
      </c>
      <c r="M23" s="33" t="n">
        <f aca="false">IFERROR(K23/J23-1,"n.d.")</f>
        <v>0.0227620952092547</v>
      </c>
      <c r="N23" s="33" t="n">
        <f aca="false">IFERROR(L23/K23-1,"n.d.")</f>
        <v>-0.358758491739852</v>
      </c>
      <c r="O23" s="33" t="n">
        <f aca="false">IFERROR(I23/L23-1,"n.d.")</f>
        <v>1.2934748706438</v>
      </c>
      <c r="P23" s="33" t="n">
        <f aca="false">IFERROR(I23/J23-1,"n.d.")</f>
        <v>0.504146845023807</v>
      </c>
      <c r="Q23" s="32" t="n">
        <f aca="false">IFERROR(I23-F23,"n.d.")</f>
        <v>215.74</v>
      </c>
      <c r="R23" s="32" t="n">
        <f aca="false">IFERROR(I23-G23,"n.d.")</f>
        <v>193.16</v>
      </c>
      <c r="S23" s="33" t="n">
        <f aca="false">IFERROR(F23/1000/PIB_2016,"n.d.")</f>
        <v>2.58400941600271E-005</v>
      </c>
      <c r="T23" s="33" t="n">
        <f aca="false">IFERROR(G23/1000/PIB_2019,"n.d.")</f>
        <v>2.49799333642887E-005</v>
      </c>
      <c r="U23" s="33" t="n">
        <f aca="false">IFERROR(H23/1000/PIB_2022,"n.d.")</f>
        <v>1.42891497702902E-005</v>
      </c>
      <c r="V23" s="33" t="n">
        <f aca="false">IFERROR(I23/1000/PIB_2025,"n.d.")</f>
        <v>2.96532592444079E-005</v>
      </c>
      <c r="W23" s="30" t="s">
        <v>790</v>
      </c>
      <c r="X23" s="30" t="s">
        <v>790</v>
      </c>
      <c r="Y23" s="30" t="s">
        <v>790</v>
      </c>
      <c r="Z23" s="30" t="s">
        <v>790</v>
      </c>
      <c r="AA23" s="30" t="s">
        <v>50</v>
      </c>
      <c r="AB23" s="30" t="s">
        <v>758</v>
      </c>
    </row>
    <row r="24" customFormat="false" ht="32.8" hidden="false" customHeight="false" outlineLevel="0" collapsed="false">
      <c r="A24" s="30" t="s">
        <v>788</v>
      </c>
      <c r="B24" s="30" t="s">
        <v>789</v>
      </c>
      <c r="C24" s="30" t="s">
        <v>693</v>
      </c>
      <c r="D24" s="30" t="s">
        <v>140</v>
      </c>
      <c r="E24" s="30" t="s">
        <v>275</v>
      </c>
      <c r="F24" s="55" t="n">
        <v>161.51</v>
      </c>
      <c r="G24" s="55" t="n">
        <v>181.01</v>
      </c>
      <c r="H24" s="55" t="n">
        <v>143.6</v>
      </c>
      <c r="I24" s="55" t="n">
        <v>441.8</v>
      </c>
      <c r="J24" s="32" t="n">
        <f aca="false">IFERROR(F24*FATOR_2016,"n.d.")</f>
        <v>250.372797265322</v>
      </c>
      <c r="K24" s="32" t="n">
        <f aca="false">IFERROR(G24*FATOR_2019,"n.d.")</f>
        <v>251.880930952493</v>
      </c>
      <c r="L24" s="32" t="n">
        <f aca="false">IFERROR(H24*FATOR_2022,"n.d.")</f>
        <v>164.210328246904</v>
      </c>
      <c r="M24" s="33" t="n">
        <f aca="false">IFERROR(K24/J24-1,"n.d.")</f>
        <v>0.00602355249309405</v>
      </c>
      <c r="N24" s="33" t="n">
        <f aca="false">IFERROR(L24/K24-1,"n.d.")</f>
        <v>-0.348063675856924</v>
      </c>
      <c r="O24" s="33" t="n">
        <f aca="false">IFERROR(I24/L24-1,"n.d.")</f>
        <v>1.69045196314154</v>
      </c>
      <c r="P24" s="33" t="n">
        <f aca="false">IFERROR(I24/J24-1,"n.d.")</f>
        <v>0.76456869446492</v>
      </c>
      <c r="Q24" s="32" t="n">
        <f aca="false">IFERROR(I24-F24,"n.d.")</f>
        <v>280.29</v>
      </c>
      <c r="R24" s="32" t="n">
        <f aca="false">IFERROR(I24-G24,"n.d.")</f>
        <v>260.79</v>
      </c>
      <c r="S24" s="33" t="n">
        <f aca="false">IFERROR(F24/1000/PIB_2016,"n.d.")</f>
        <v>2.57619358505307E-005</v>
      </c>
      <c r="T24" s="33" t="n">
        <f aca="false">IFERROR(G24/1000/PIB_2019,"n.d.")</f>
        <v>2.44967913006279E-005</v>
      </c>
      <c r="U24" s="33" t="n">
        <f aca="false">IFERROR(H24/1000/PIB_2022,"n.d.")</f>
        <v>1.4246489668914E-005</v>
      </c>
      <c r="V24" s="33" t="n">
        <f aca="false">IFERROR(I24/1000/PIB_2025,"n.d.")</f>
        <v>3.46820827399254E-005</v>
      </c>
      <c r="W24" s="30" t="s">
        <v>790</v>
      </c>
      <c r="X24" s="30" t="s">
        <v>790</v>
      </c>
      <c r="Y24" s="30" t="s">
        <v>790</v>
      </c>
      <c r="Z24" s="30" t="s">
        <v>790</v>
      </c>
      <c r="AA24" s="30" t="s">
        <v>50</v>
      </c>
      <c r="AB24" s="30" t="s">
        <v>436</v>
      </c>
    </row>
    <row r="25" customFormat="false" ht="32.8" hidden="false" customHeight="false" outlineLevel="0" collapsed="false">
      <c r="A25" s="30" t="s">
        <v>788</v>
      </c>
      <c r="B25" s="30" t="s">
        <v>789</v>
      </c>
      <c r="C25" s="30" t="s">
        <v>694</v>
      </c>
      <c r="D25" s="30" t="s">
        <v>140</v>
      </c>
      <c r="E25" s="30" t="s">
        <v>275</v>
      </c>
      <c r="F25" s="55" t="n">
        <v>151.59</v>
      </c>
      <c r="G25" s="55" t="n">
        <v>162.93</v>
      </c>
      <c r="H25" s="55" t="n">
        <v>133.85</v>
      </c>
      <c r="I25" s="55" t="n">
        <v>397.29</v>
      </c>
      <c r="J25" s="32" t="n">
        <f aca="false">IFERROR(F25*FATOR_2016,"n.d.")</f>
        <v>234.994813556128</v>
      </c>
      <c r="K25" s="32" t="n">
        <f aca="false">IFERROR(G25*FATOR_2019,"n.d.")</f>
        <v>226.722059997181</v>
      </c>
      <c r="L25" s="32" t="n">
        <f aca="false">IFERROR(H25*FATOR_2022,"n.d.")</f>
        <v>153.060950110363</v>
      </c>
      <c r="M25" s="33" t="n">
        <f aca="false">IFERROR(K25/J25-1,"n.d.")</f>
        <v>-0.0352039835848181</v>
      </c>
      <c r="N25" s="33" t="n">
        <f aca="false">IFERROR(L25/K25-1,"n.d.")</f>
        <v>-0.324896085928884</v>
      </c>
      <c r="O25" s="33" t="n">
        <f aca="false">IFERROR(I25/L25-1,"n.d.")</f>
        <v>1.59563265296301</v>
      </c>
      <c r="P25" s="33" t="n">
        <f aca="false">IFERROR(I25/J25-1,"n.d.")</f>
        <v>0.690633056908332</v>
      </c>
      <c r="Q25" s="32" t="n">
        <f aca="false">IFERROR(I25-F25,"n.d.")</f>
        <v>245.7</v>
      </c>
      <c r="R25" s="32" t="n">
        <f aca="false">IFERROR(I25-G25,"n.d.")</f>
        <v>234.36</v>
      </c>
      <c r="S25" s="33" t="n">
        <f aca="false">IFERROR(F25/1000/PIB_2016,"n.d.")</f>
        <v>2.41796288501142E-005</v>
      </c>
      <c r="T25" s="33" t="n">
        <f aca="false">IFERROR(G25/1000/PIB_2019,"n.d.")</f>
        <v>2.20499541827043E-005</v>
      </c>
      <c r="U25" s="33" t="n">
        <f aca="false">IFERROR(H25/1000/PIB_2022,"n.d.")</f>
        <v>1.32791966725915E-005</v>
      </c>
      <c r="V25" s="33" t="n">
        <f aca="false">IFERROR(I25/1000/PIB_2025,"n.d.")</f>
        <v>3.11879688812697E-005</v>
      </c>
      <c r="W25" s="30" t="s">
        <v>790</v>
      </c>
      <c r="X25" s="30" t="s">
        <v>790</v>
      </c>
      <c r="Y25" s="30" t="s">
        <v>790</v>
      </c>
      <c r="Z25" s="30" t="s">
        <v>790</v>
      </c>
      <c r="AA25" s="30" t="s">
        <v>50</v>
      </c>
      <c r="AB25" s="30" t="s">
        <v>436</v>
      </c>
    </row>
    <row r="26" customFormat="false" ht="32.8" hidden="false" customHeight="false" outlineLevel="0" collapsed="false">
      <c r="A26" s="30" t="s">
        <v>788</v>
      </c>
      <c r="B26" s="30" t="s">
        <v>789</v>
      </c>
      <c r="C26" s="30" t="s">
        <v>287</v>
      </c>
      <c r="D26" s="30" t="s">
        <v>140</v>
      </c>
      <c r="E26" s="30" t="s">
        <v>275</v>
      </c>
      <c r="F26" s="55" t="n">
        <v>151.59</v>
      </c>
      <c r="G26" s="55" t="n">
        <v>162.93</v>
      </c>
      <c r="H26" s="55" t="n">
        <v>132.69</v>
      </c>
      <c r="I26" s="55" t="n">
        <v>406.45</v>
      </c>
      <c r="J26" s="32" t="n">
        <f aca="false">IFERROR(F26*FATOR_2016,"n.d.")</f>
        <v>234.994813556128</v>
      </c>
      <c r="K26" s="32" t="n">
        <f aca="false">IFERROR(G26*FATOR_2019,"n.d.")</f>
        <v>226.722059997181</v>
      </c>
      <c r="L26" s="32" t="n">
        <f aca="false">IFERROR(H26*FATOR_2022,"n.d.")</f>
        <v>151.734459993605</v>
      </c>
      <c r="M26" s="33" t="n">
        <f aca="false">IFERROR(K26/J26-1,"n.d.")</f>
        <v>-0.0352039835848181</v>
      </c>
      <c r="N26" s="33" t="n">
        <f aca="false">IFERROR(L26/K26-1,"n.d.")</f>
        <v>-0.330746818393004</v>
      </c>
      <c r="O26" s="33" t="n">
        <f aca="false">IFERROR(I26/L26-1,"n.d.")</f>
        <v>1.67869276377383</v>
      </c>
      <c r="P26" s="33" t="n">
        <f aca="false">IFERROR(I26/J26-1,"n.d.")</f>
        <v>0.729612640590982</v>
      </c>
      <c r="Q26" s="32" t="n">
        <f aca="false">IFERROR(I26-F26,"n.d.")</f>
        <v>254.86</v>
      </c>
      <c r="R26" s="32" t="n">
        <f aca="false">IFERROR(I26-G26,"n.d.")</f>
        <v>243.52</v>
      </c>
      <c r="S26" s="33" t="n">
        <f aca="false">IFERROR(F26/1000/PIB_2016,"n.d.")</f>
        <v>2.41796288501142E-005</v>
      </c>
      <c r="T26" s="33" t="n">
        <f aca="false">IFERROR(G26/1000/PIB_2019,"n.d.")</f>
        <v>2.20499541827043E-005</v>
      </c>
      <c r="U26" s="33" t="n">
        <f aca="false">IFERROR(H26/1000/PIB_2022,"n.d.")</f>
        <v>1.31641136084136E-005</v>
      </c>
      <c r="V26" s="33" t="n">
        <f aca="false">IFERROR(I26/1000/PIB_2025,"n.d.")</f>
        <v>3.19070451101011E-005</v>
      </c>
      <c r="W26" s="30" t="s">
        <v>790</v>
      </c>
      <c r="X26" s="30" t="s">
        <v>790</v>
      </c>
      <c r="Y26" s="30" t="s">
        <v>790</v>
      </c>
      <c r="Z26" s="30" t="s">
        <v>790</v>
      </c>
      <c r="AA26" s="30" t="s">
        <v>50</v>
      </c>
      <c r="AB26" s="30" t="s">
        <v>791</v>
      </c>
    </row>
    <row r="27" customFormat="false" ht="32.8" hidden="false" customHeight="false" outlineLevel="0" collapsed="false">
      <c r="A27" s="30" t="s">
        <v>788</v>
      </c>
      <c r="B27" s="30" t="s">
        <v>789</v>
      </c>
      <c r="C27" s="30" t="s">
        <v>760</v>
      </c>
      <c r="D27" s="30" t="s">
        <v>140</v>
      </c>
      <c r="E27" s="30" t="s">
        <v>275</v>
      </c>
      <c r="F27" s="55" t="n">
        <v>13.48</v>
      </c>
      <c r="G27" s="55" t="n">
        <v>12.4</v>
      </c>
      <c r="H27" s="55" t="n">
        <v>0.02</v>
      </c>
      <c r="I27" s="55" t="n">
        <v>22.42</v>
      </c>
      <c r="J27" s="32" t="n">
        <f aca="false">IFERROR(F27*FATOR_2016,"n.d.")</f>
        <v>20.8966956048328</v>
      </c>
      <c r="K27" s="32" t="n">
        <f aca="false">IFERROR(G27*FATOR_2019,"n.d.")</f>
        <v>17.2549778675814</v>
      </c>
      <c r="L27" s="32" t="n">
        <f aca="false">IFERROR(H27*FATOR_2022,"n.d.")</f>
        <v>0.0228705192544435</v>
      </c>
      <c r="M27" s="33" t="n">
        <f aca="false">IFERROR(K27/J27-1,"n.d.")</f>
        <v>-0.174272421157782</v>
      </c>
      <c r="N27" s="33" t="n">
        <f aca="false">IFERROR(L27/K27-1,"n.d.")</f>
        <v>-0.998674555283121</v>
      </c>
      <c r="O27" s="33" t="n">
        <f aca="false">IFERROR(I27/L27-1,"n.d.")</f>
        <v>979.301310633516</v>
      </c>
      <c r="P27" s="33" t="n">
        <f aca="false">IFERROR(I27/J27-1,"n.d.")</f>
        <v>0.0728969031263922</v>
      </c>
      <c r="Q27" s="32" t="n">
        <f aca="false">IFERROR(I27-F27,"n.d.")</f>
        <v>8.94</v>
      </c>
      <c r="R27" s="32" t="n">
        <f aca="false">IFERROR(I27-G27,"n.d.")</f>
        <v>10.02</v>
      </c>
      <c r="S27" s="33" t="n">
        <f aca="false">IFERROR(F27/1000/PIB_2016,"n.d.")</f>
        <v>2.15015104492077E-006</v>
      </c>
      <c r="T27" s="33" t="n">
        <f aca="false">IFERROR(G27/1000/PIB_2019,"n.d.")</f>
        <v>1.67814050123079E-006</v>
      </c>
      <c r="U27" s="33" t="n">
        <f aca="false">IFERROR(H27/1000/PIB_2022,"n.d.")</f>
        <v>1.98419076168718E-009</v>
      </c>
      <c r="V27" s="33" t="n">
        <f aca="false">IFERROR(I27/1000/PIB_2025,"n.d.")</f>
        <v>1.76000972165941E-006</v>
      </c>
      <c r="W27" s="30" t="s">
        <v>790</v>
      </c>
      <c r="X27" s="30" t="s">
        <v>790</v>
      </c>
      <c r="Y27" s="30" t="s">
        <v>790</v>
      </c>
      <c r="Z27" s="30" t="s">
        <v>790</v>
      </c>
      <c r="AA27" s="30" t="s">
        <v>50</v>
      </c>
      <c r="AB27" s="30" t="s">
        <v>436</v>
      </c>
    </row>
    <row r="28" customFormat="false" ht="32.8" hidden="false" customHeight="false" outlineLevel="0" collapsed="false">
      <c r="A28" s="42" t="s">
        <v>792</v>
      </c>
      <c r="B28" s="42" t="s">
        <v>793</v>
      </c>
      <c r="C28" s="42" t="s">
        <v>757</v>
      </c>
      <c r="D28" s="42" t="s">
        <v>140</v>
      </c>
      <c r="E28" s="42" t="s">
        <v>275</v>
      </c>
      <c r="F28" s="44" t="n">
        <f aca="false">'Segurança e polít. afirmativas'!F9</f>
        <v>39.609</v>
      </c>
      <c r="G28" s="44" t="n">
        <f aca="false">'Segurança e polít. afirmativas'!G9</f>
        <v>12.908</v>
      </c>
      <c r="H28" s="69" t="str">
        <f aca="false">'Segurança e polít. afirmativas'!H9</f>
        <v>não localizado após busca</v>
      </c>
      <c r="I28" s="44" t="n">
        <f aca="false">'Segurança e polít. afirmativas'!I9</f>
        <v>78.02</v>
      </c>
      <c r="J28" s="44" t="n">
        <f aca="false">IFERROR(F28*FATOR_2016,"n.d.")</f>
        <v>61.4018706388592</v>
      </c>
      <c r="K28" s="44" t="n">
        <f aca="false">IFERROR(G28*FATOR_2019,"n.d.")</f>
        <v>17.961875347963</v>
      </c>
      <c r="L28" s="44" t="str">
        <f aca="false">IFERROR(H28*FATOR_2022,"n.d.")</f>
        <v>n.d.</v>
      </c>
      <c r="M28" s="45" t="n">
        <f aca="false">IFERROR(K28/J28-1,"n.d.")</f>
        <v>-0.70747022588925</v>
      </c>
      <c r="N28" s="45" t="str">
        <f aca="false">IFERROR(L28/K28-1,"n.d.")</f>
        <v>n.d.</v>
      </c>
      <c r="O28" s="45" t="str">
        <f aca="false">IFERROR(I28/L28-1,"n.d.")</f>
        <v>n.d.</v>
      </c>
      <c r="P28" s="45" t="n">
        <f aca="false">IFERROR(I28/J28-1,"n.d.")</f>
        <v>0.270645327059852</v>
      </c>
      <c r="Q28" s="44" t="n">
        <f aca="false">IFERROR(I28-F28,"n.d.")</f>
        <v>38.411</v>
      </c>
      <c r="R28" s="44" t="n">
        <f aca="false">IFERROR(I28-G28,"n.d.")</f>
        <v>65.112</v>
      </c>
      <c r="S28" s="45" t="n">
        <f aca="false">IFERROR(F28/1000/PIB_2016,"n.d.")</f>
        <v>6.31790302212662E-006</v>
      </c>
      <c r="T28" s="45" t="n">
        <f aca="false">IFERROR(G28/1000/PIB_2019,"n.d.")</f>
        <v>1.7468901282167E-006</v>
      </c>
      <c r="U28" s="45" t="str">
        <f aca="false">IFERROR(H28/1000/PIB_2022,"n.d.")</f>
        <v>n.d.</v>
      </c>
      <c r="V28" s="45" t="n">
        <f aca="false">IFERROR(I28/1000/PIB_2025,"n.d.")</f>
        <v>6.12470822854001E-006</v>
      </c>
      <c r="W28" s="42" t="s">
        <v>794</v>
      </c>
      <c r="X28" s="42" t="s">
        <v>794</v>
      </c>
      <c r="Y28" s="42" t="s">
        <v>794</v>
      </c>
      <c r="Z28" s="42" t="s">
        <v>794</v>
      </c>
      <c r="AA28" s="42" t="s">
        <v>54</v>
      </c>
      <c r="AB28" s="42" t="s">
        <v>795</v>
      </c>
    </row>
    <row r="29" customFormat="false" ht="22.35" hidden="false" customHeight="false" outlineLevel="0" collapsed="false">
      <c r="A29" s="42" t="s">
        <v>792</v>
      </c>
      <c r="B29" s="42" t="s">
        <v>793</v>
      </c>
      <c r="C29" s="42" t="s">
        <v>693</v>
      </c>
      <c r="D29" s="42" t="s">
        <v>140</v>
      </c>
      <c r="E29" s="42" t="s">
        <v>275</v>
      </c>
      <c r="F29" s="44" t="n">
        <f aca="false">'Segurança e polít. afirmativas'!F10</f>
        <v>20.269</v>
      </c>
      <c r="G29" s="44" t="n">
        <f aca="false">'Segurança e polít. afirmativas'!G10</f>
        <v>12.458</v>
      </c>
      <c r="H29" s="69" t="str">
        <f aca="false">'Segurança e polít. afirmativas'!H10</f>
        <v>não localizado após busca</v>
      </c>
      <c r="I29" s="44" t="n">
        <f aca="false">'Segurança e polít. afirmativas'!I10</f>
        <v>77.486</v>
      </c>
      <c r="J29" s="44" t="n">
        <f aca="false">IFERROR(F29*FATOR_2016,"n.d.")</f>
        <v>31.4210032058128</v>
      </c>
      <c r="K29" s="44" t="n">
        <f aca="false">IFERROR(G29*FATOR_2019,"n.d.")</f>
        <v>17.3356866350266</v>
      </c>
      <c r="L29" s="44" t="str">
        <f aca="false">IFERROR(H29*FATOR_2022,"n.d.")</f>
        <v>n.d.</v>
      </c>
      <c r="M29" s="45" t="n">
        <f aca="false">IFERROR(K29/J29-1,"n.d.")</f>
        <v>-0.448277111921763</v>
      </c>
      <c r="N29" s="45" t="str">
        <f aca="false">IFERROR(L29/K29-1,"n.d.")</f>
        <v>n.d.</v>
      </c>
      <c r="O29" s="45" t="str">
        <f aca="false">IFERROR(I29/L29-1,"n.d.")</f>
        <v>n.d.</v>
      </c>
      <c r="P29" s="45" t="n">
        <f aca="false">IFERROR(I29/J29-1,"n.d.")</f>
        <v>1.4660574804838</v>
      </c>
      <c r="Q29" s="44" t="n">
        <f aca="false">IFERROR(I29-F29,"n.d.")</f>
        <v>57.217</v>
      </c>
      <c r="R29" s="44" t="n">
        <f aca="false">IFERROR(I29-G29,"n.d.")</f>
        <v>65.028</v>
      </c>
      <c r="S29" s="45" t="n">
        <f aca="false">IFERROR(F29/1000/PIB_2016,"n.d.")</f>
        <v>3.23304239833079E-006</v>
      </c>
      <c r="T29" s="45" t="n">
        <f aca="false">IFERROR(G29/1000/PIB_2019,"n.d.")</f>
        <v>1.68598986809139E-006</v>
      </c>
      <c r="U29" s="45" t="str">
        <f aca="false">IFERROR(H29/1000/PIB_2022,"n.d.")</f>
        <v>n.d.</v>
      </c>
      <c r="V29" s="45" t="n">
        <f aca="false">IFERROR(I29/1000/PIB_2025,"n.d.")</f>
        <v>6.08278828244875E-006</v>
      </c>
      <c r="W29" s="42" t="s">
        <v>796</v>
      </c>
      <c r="X29" s="42" t="s">
        <v>796</v>
      </c>
      <c r="Y29" s="42" t="s">
        <v>796</v>
      </c>
      <c r="Z29" s="42" t="s">
        <v>796</v>
      </c>
      <c r="AA29" s="42" t="s">
        <v>54</v>
      </c>
      <c r="AB29" s="42" t="s">
        <v>436</v>
      </c>
    </row>
    <row r="30" customFormat="false" ht="22.35" hidden="false" customHeight="false" outlineLevel="0" collapsed="false">
      <c r="A30" s="42" t="s">
        <v>792</v>
      </c>
      <c r="B30" s="42" t="s">
        <v>793</v>
      </c>
      <c r="C30" s="42" t="s">
        <v>287</v>
      </c>
      <c r="D30" s="42" t="s">
        <v>140</v>
      </c>
      <c r="E30" s="42" t="s">
        <v>275</v>
      </c>
      <c r="F30" s="44" t="n">
        <f aca="false">'Segurança e polít. afirmativas'!F12</f>
        <v>8.298</v>
      </c>
      <c r="G30" s="44" t="n">
        <f aca="false">'Segurança e polít. afirmativas'!G12</f>
        <v>5.88</v>
      </c>
      <c r="H30" s="69" t="str">
        <f aca="false">'Segurança e polít. afirmativas'!H12</f>
        <v>não localizado após busca</v>
      </c>
      <c r="I30" s="44" t="n">
        <f aca="false">'Segurança e polít. afirmativas'!I12</f>
        <v>58.026</v>
      </c>
      <c r="J30" s="44" t="n">
        <f aca="false">IFERROR(F30*FATOR_2016,"n.d.")</f>
        <v>12.8635593567435</v>
      </c>
      <c r="K30" s="44" t="n">
        <f aca="false">IFERROR(G30*FATOR_2019,"n.d.")</f>
        <v>8.18219918236925</v>
      </c>
      <c r="L30" s="44" t="str">
        <f aca="false">IFERROR(H30*FATOR_2022,"n.d.")</f>
        <v>n.d.</v>
      </c>
      <c r="M30" s="45" t="n">
        <f aca="false">IFERROR(K30/J30-1,"n.d.")</f>
        <v>-0.363924170950409</v>
      </c>
      <c r="N30" s="45" t="str">
        <f aca="false">IFERROR(L30/K30-1,"n.d.")</f>
        <v>n.d.</v>
      </c>
      <c r="O30" s="45" t="str">
        <f aca="false">IFERROR(I30/L30-1,"n.d.")</f>
        <v>n.d.</v>
      </c>
      <c r="P30" s="45" t="n">
        <f aca="false">IFERROR(I30/J30-1,"n.d.")</f>
        <v>3.51088212762674</v>
      </c>
      <c r="Q30" s="44" t="n">
        <f aca="false">IFERROR(I30-F30,"n.d.")</f>
        <v>49.728</v>
      </c>
      <c r="R30" s="44" t="n">
        <f aca="false">IFERROR(I30-G30,"n.d.")</f>
        <v>52.146</v>
      </c>
      <c r="S30" s="45" t="n">
        <f aca="false">IFERROR(F30/1000/PIB_2016,"n.d.")</f>
        <v>1.32358704530805E-006</v>
      </c>
      <c r="T30" s="45" t="n">
        <f aca="false">IFERROR(G30/1000/PIB_2019,"n.d.")</f>
        <v>7.95763398970731E-007</v>
      </c>
      <c r="U30" s="45" t="str">
        <f aca="false">IFERROR(H30/1000/PIB_2022,"n.d.")</f>
        <v>n.d.</v>
      </c>
      <c r="V30" s="45" t="n">
        <f aca="false">IFERROR(I30/1000/PIB_2025,"n.d.")</f>
        <v>4.55514380504054E-006</v>
      </c>
      <c r="W30" s="42" t="s">
        <v>796</v>
      </c>
      <c r="X30" s="42" t="s">
        <v>796</v>
      </c>
      <c r="Y30" s="42" t="s">
        <v>796</v>
      </c>
      <c r="Z30" s="42" t="s">
        <v>796</v>
      </c>
      <c r="AA30" s="42" t="s">
        <v>54</v>
      </c>
      <c r="AB30" s="42" t="s">
        <v>797</v>
      </c>
    </row>
    <row r="31" customFormat="false" ht="32.8" hidden="false" customHeight="false" outlineLevel="0" collapsed="false">
      <c r="A31" s="42" t="s">
        <v>798</v>
      </c>
      <c r="B31" s="42" t="s">
        <v>799</v>
      </c>
      <c r="C31" s="42" t="s">
        <v>800</v>
      </c>
      <c r="D31" s="42" t="s">
        <v>140</v>
      </c>
      <c r="E31" s="42" t="s">
        <v>106</v>
      </c>
      <c r="F31" s="59" t="s">
        <v>801</v>
      </c>
      <c r="G31" s="59" t="s">
        <v>801</v>
      </c>
      <c r="H31" s="56" t="n">
        <v>2.8</v>
      </c>
      <c r="I31" s="61" t="n">
        <v>2.6</v>
      </c>
      <c r="J31" s="44" t="str">
        <f aca="false">IFERROR(F31*FATOR_2016,"n.d.")</f>
        <v>n.d.</v>
      </c>
      <c r="K31" s="44" t="str">
        <f aca="false">IFERROR(G31*FATOR_2019,"n.d.")</f>
        <v>n.d.</v>
      </c>
      <c r="L31" s="44" t="n">
        <f aca="false">IFERROR(H31*FATOR_2022,"n.d.")</f>
        <v>3.20187269562209</v>
      </c>
      <c r="M31" s="45" t="str">
        <f aca="false">IFERROR(K31/J31-1,"n.d.")</f>
        <v>n.d.</v>
      </c>
      <c r="N31" s="45" t="str">
        <f aca="false">IFERROR(L31/K31-1,"n.d.")</f>
        <v>n.d.</v>
      </c>
      <c r="O31" s="45" t="n">
        <f aca="false">IFERROR(I31/L31-1,"n.d.")</f>
        <v>-0.187975211021046</v>
      </c>
      <c r="P31" s="45" t="str">
        <f aca="false">IFERROR(I31/J31-1,"n.d.")</f>
        <v>n.d.</v>
      </c>
      <c r="Q31" s="44" t="str">
        <f aca="false">IFERROR(I31-F31,"n.d.")</f>
        <v>n.d.</v>
      </c>
      <c r="R31" s="44" t="str">
        <f aca="false">IFERROR(I31-G31,"n.d.")</f>
        <v>n.d.</v>
      </c>
      <c r="S31" s="45" t="str">
        <f aca="false">IFERROR(F31/PIB_2016,"n.d.")</f>
        <v>n.d.</v>
      </c>
      <c r="T31" s="45" t="str">
        <f aca="false">IFERROR(G31/PIB_2019,"n.d.")</f>
        <v>n.d.</v>
      </c>
      <c r="U31" s="45" t="n">
        <f aca="false">IFERROR(H31/PIB_2022,"n.d.")</f>
        <v>0.000277786706636205</v>
      </c>
      <c r="V31" s="45" t="n">
        <f aca="false">IFERROR(I31/PIB_2025,"n.d.")</f>
        <v>0.000204104606436863</v>
      </c>
      <c r="W31" s="42" t="s">
        <v>436</v>
      </c>
      <c r="X31" s="42" t="s">
        <v>436</v>
      </c>
      <c r="Y31" s="42" t="s">
        <v>802</v>
      </c>
      <c r="Z31" s="42" t="s">
        <v>803</v>
      </c>
      <c r="AA31" s="42" t="s">
        <v>54</v>
      </c>
      <c r="AB31" s="42" t="s">
        <v>804</v>
      </c>
    </row>
    <row r="32" customFormat="false" ht="43.25" hidden="false" customHeight="false" outlineLevel="0" collapsed="false">
      <c r="A32" s="60" t="s">
        <v>805</v>
      </c>
      <c r="B32" s="60" t="s">
        <v>806</v>
      </c>
      <c r="C32" s="60" t="s">
        <v>807</v>
      </c>
      <c r="D32" s="60" t="s">
        <v>808</v>
      </c>
      <c r="E32" s="60" t="s">
        <v>106</v>
      </c>
      <c r="F32" s="59" t="s">
        <v>809</v>
      </c>
      <c r="G32" s="59" t="s">
        <v>809</v>
      </c>
      <c r="H32" s="59" t="s">
        <v>809</v>
      </c>
      <c r="I32" s="61" t="n">
        <v>13</v>
      </c>
      <c r="J32" s="62" t="str">
        <f aca="false">IFERROR(F32*FATOR_2016,"n.d.")</f>
        <v>n.d.</v>
      </c>
      <c r="K32" s="62" t="str">
        <f aca="false">IFERROR(G32*FATOR_2019,"n.d.")</f>
        <v>n.d.</v>
      </c>
      <c r="L32" s="62" t="str">
        <f aca="false">IFERROR(H32*FATOR_2022,"n.d.")</f>
        <v>n.d.</v>
      </c>
      <c r="M32" s="63" t="str">
        <f aca="false">IFERROR(K32/J32-1,"n.d.")</f>
        <v>n.d.</v>
      </c>
      <c r="N32" s="63" t="str">
        <f aca="false">IFERROR(L32/K32-1,"n.d.")</f>
        <v>n.d.</v>
      </c>
      <c r="O32" s="63" t="str">
        <f aca="false">IFERROR(I32/L32-1,"n.d.")</f>
        <v>n.d.</v>
      </c>
      <c r="P32" s="63" t="str">
        <f aca="false">IFERROR(I32/J32-1,"n.d.")</f>
        <v>n.d.</v>
      </c>
      <c r="Q32" s="62" t="str">
        <f aca="false">IFERROR(I32-F32,"n.d.")</f>
        <v>n.d.</v>
      </c>
      <c r="R32" s="62" t="str">
        <f aca="false">IFERROR(I32-G32,"n.d.")</f>
        <v>n.d.</v>
      </c>
      <c r="S32" s="63" t="str">
        <f aca="false">IFERROR(F32/PIB_2016,"n.d.")</f>
        <v>n.d.</v>
      </c>
      <c r="T32" s="63" t="str">
        <f aca="false">IFERROR(G32/PIB_2019,"n.d.")</f>
        <v>n.d.</v>
      </c>
      <c r="U32" s="63" t="str">
        <f aca="false">IFERROR(H32/PIB_2022,"n.d.")</f>
        <v>n.d.</v>
      </c>
      <c r="V32" s="63" t="n">
        <f aca="false">IFERROR(I32/PIB_2025,"n.d.")</f>
        <v>0.00102052303218431</v>
      </c>
      <c r="W32" s="60" t="s">
        <v>436</v>
      </c>
      <c r="X32" s="60" t="s">
        <v>436</v>
      </c>
      <c r="Y32" s="60" t="s">
        <v>436</v>
      </c>
      <c r="Z32" s="60" t="s">
        <v>810</v>
      </c>
      <c r="AA32" s="60" t="s">
        <v>56</v>
      </c>
      <c r="AB32" s="60" t="s">
        <v>811</v>
      </c>
    </row>
    <row r="33" customFormat="false" ht="43.25" hidden="false" customHeight="false" outlineLevel="0" collapsed="false">
      <c r="A33" s="30" t="s">
        <v>812</v>
      </c>
      <c r="B33" s="30" t="s">
        <v>813</v>
      </c>
      <c r="C33" s="30" t="s">
        <v>308</v>
      </c>
      <c r="D33" s="30" t="s">
        <v>309</v>
      </c>
      <c r="E33" s="30" t="s">
        <v>106</v>
      </c>
      <c r="F33" s="55" t="n">
        <v>3.42</v>
      </c>
      <c r="G33" s="55" t="n">
        <v>3.95</v>
      </c>
      <c r="H33" s="55" t="n">
        <v>3.56</v>
      </c>
      <c r="I33" s="57" t="n">
        <v>5.5</v>
      </c>
      <c r="J33" s="32" t="n">
        <f aca="false">IFERROR(F33*FATOR_2016,"n.d.")</f>
        <v>5.30168389974245</v>
      </c>
      <c r="K33" s="32" t="n">
        <f aca="false">IFERROR(G33*FATOR_2019,"n.d.")</f>
        <v>5.4965453691086</v>
      </c>
      <c r="L33" s="32" t="n">
        <f aca="false">IFERROR(H33*FATOR_2022,"n.d.")</f>
        <v>4.07095242729094</v>
      </c>
      <c r="M33" s="33" t="n">
        <f aca="false">IFERROR(K33/J33-1,"n.d.")</f>
        <v>0.0367546374040924</v>
      </c>
      <c r="N33" s="33" t="n">
        <f aca="false">IFERROR(L33/K33-1,"n.d.")</f>
        <v>-0.259361625545693</v>
      </c>
      <c r="O33" s="33" t="n">
        <f aca="false">IFERROR(I33/L33-1,"n.d.")</f>
        <v>0.351035193417879</v>
      </c>
      <c r="P33" s="33" t="n">
        <f aca="false">IFERROR(I33/J33-1,"n.d.")</f>
        <v>0.037406247525845</v>
      </c>
      <c r="Q33" s="32" t="n">
        <f aca="false">IFERROR(I33-F33,"n.d.")</f>
        <v>2.08</v>
      </c>
      <c r="R33" s="32" t="n">
        <f aca="false">IFERROR(I33-G33,"n.d.")</f>
        <v>1.55</v>
      </c>
      <c r="S33" s="33" t="n">
        <f aca="false">IFERROR(F33/PIB_2016,"n.d.")</f>
        <v>0.000545513098933905</v>
      </c>
      <c r="T33" s="33" t="n">
        <f aca="false">IFERROR(G33/PIB_2019,"n.d.")</f>
        <v>0.000534568949988842</v>
      </c>
      <c r="U33" s="33" t="n">
        <f aca="false">IFERROR(H33/PIB_2022,"n.d.")</f>
        <v>0.000353185955580318</v>
      </c>
      <c r="V33" s="33" t="n">
        <f aca="false">IFERROR(I33/PIB_2025,"n.d.")</f>
        <v>0.000431759744385671</v>
      </c>
      <c r="W33" s="30" t="s">
        <v>310</v>
      </c>
      <c r="X33" s="30" t="s">
        <v>310</v>
      </c>
      <c r="Y33" s="30" t="s">
        <v>310</v>
      </c>
      <c r="Z33" s="30" t="s">
        <v>311</v>
      </c>
      <c r="AA33" s="30" t="s">
        <v>50</v>
      </c>
      <c r="AB33" s="30" t="s">
        <v>814</v>
      </c>
    </row>
    <row r="34" customFormat="false" ht="43.25" hidden="false" customHeight="false" outlineLevel="0" collapsed="false">
      <c r="A34" s="30" t="s">
        <v>815</v>
      </c>
      <c r="B34" s="30" t="s">
        <v>816</v>
      </c>
      <c r="C34" s="30" t="s">
        <v>817</v>
      </c>
      <c r="D34" s="30" t="s">
        <v>105</v>
      </c>
      <c r="E34" s="30" t="s">
        <v>818</v>
      </c>
      <c r="F34" s="70" t="n">
        <v>40.3</v>
      </c>
      <c r="G34" s="70" t="n">
        <v>40.2</v>
      </c>
      <c r="H34" s="70" t="n">
        <v>39.58</v>
      </c>
      <c r="I34" s="59" t="s">
        <v>730</v>
      </c>
      <c r="J34" s="32" t="s">
        <v>133</v>
      </c>
      <c r="K34" s="32" t="s">
        <v>133</v>
      </c>
      <c r="L34" s="32" t="s">
        <v>133</v>
      </c>
      <c r="M34" s="33" t="n">
        <f aca="false">IFERROR(G34/F34-1,"n.d.")</f>
        <v>-0.00248138957816368</v>
      </c>
      <c r="N34" s="33" t="n">
        <f aca="false">IFERROR(H34/G34-1,"n.d.")</f>
        <v>-0.0154228855721394</v>
      </c>
      <c r="O34" s="33" t="str">
        <f aca="false">IFERROR(I34/H34-1,"n.d.")</f>
        <v>n.d.</v>
      </c>
      <c r="P34" s="33" t="str">
        <f aca="false">IFERROR(I34/F34-1,"n.d.")</f>
        <v>n.d.</v>
      </c>
      <c r="Q34" s="71" t="str">
        <f aca="false">IFERROR(I34-F34,"n.d.")</f>
        <v>n.d.</v>
      </c>
      <c r="R34" s="71" t="str">
        <f aca="false">IFERROR(I34-G34,"n.d.")</f>
        <v>n.d.</v>
      </c>
      <c r="S34" s="33" t="s">
        <v>133</v>
      </c>
      <c r="T34" s="33" t="s">
        <v>133</v>
      </c>
      <c r="U34" s="33" t="s">
        <v>133</v>
      </c>
      <c r="V34" s="33" t="s">
        <v>133</v>
      </c>
      <c r="W34" s="30" t="s">
        <v>819</v>
      </c>
      <c r="X34" s="30" t="s">
        <v>819</v>
      </c>
      <c r="Y34" s="30" t="s">
        <v>819</v>
      </c>
      <c r="Z34" s="30" t="s">
        <v>436</v>
      </c>
      <c r="AA34" s="30" t="s">
        <v>50</v>
      </c>
      <c r="AB34" s="30" t="s">
        <v>820</v>
      </c>
    </row>
    <row r="35" customFormat="false" ht="53.7" hidden="false" customHeight="false" outlineLevel="0" collapsed="false">
      <c r="A35" s="30" t="s">
        <v>821</v>
      </c>
      <c r="B35" s="30" t="s">
        <v>822</v>
      </c>
      <c r="C35" s="30" t="s">
        <v>315</v>
      </c>
      <c r="D35" s="30" t="s">
        <v>153</v>
      </c>
      <c r="E35" s="30" t="s">
        <v>106</v>
      </c>
      <c r="F35" s="55" t="n">
        <v>7.02</v>
      </c>
      <c r="G35" s="55" t="n">
        <v>1.942</v>
      </c>
      <c r="H35" s="55" t="n">
        <v>0.726</v>
      </c>
      <c r="I35" s="55" t="n">
        <v>2.19</v>
      </c>
      <c r="J35" s="32" t="n">
        <f aca="false">IFERROR(F35*FATOR_2016,"n.d.")</f>
        <v>10.8824037942082</v>
      </c>
      <c r="K35" s="32" t="n">
        <f aca="false">IFERROR(G35*FATOR_2019,"n.d.")</f>
        <v>2.70235217893896</v>
      </c>
      <c r="L35" s="32" t="n">
        <f aca="false">IFERROR(H35*FATOR_2022,"n.d.")</f>
        <v>0.830199848936298</v>
      </c>
      <c r="M35" s="33" t="n">
        <f aca="false">IFERROR(K35/J35-1,"n.d.")</f>
        <v>-0.751676906128295</v>
      </c>
      <c r="N35" s="33" t="n">
        <f aca="false">IFERROR(L35/K35-1,"n.d.")</f>
        <v>-0.692786212172292</v>
      </c>
      <c r="O35" s="33" t="n">
        <f aca="false">IFERROR(I35/L35-1,"n.d.")</f>
        <v>1.637919053835</v>
      </c>
      <c r="P35" s="33" t="n">
        <f aca="false">IFERROR(I35/J35-1,"n.d.")</f>
        <v>-0.798757697158273</v>
      </c>
      <c r="Q35" s="32" t="n">
        <f aca="false">IFERROR(I35-F35,"n.d.")</f>
        <v>-4.83</v>
      </c>
      <c r="R35" s="32" t="n">
        <f aca="false">IFERROR(I35-G35,"n.d.")</f>
        <v>0.248</v>
      </c>
      <c r="S35" s="33" t="n">
        <f aca="false">IFERROR(F35/PIB_2016,"n.d.")</f>
        <v>0.00111973741360117</v>
      </c>
      <c r="T35" s="33" t="n">
        <f aca="false">IFERROR(G35/PIB_2019,"n.d.")</f>
        <v>0.000262818455918565</v>
      </c>
      <c r="U35" s="33" t="n">
        <f aca="false">IFERROR(H35/PIB_2022,"n.d.")</f>
        <v>7.20261246492447E-005</v>
      </c>
      <c r="V35" s="33" t="n">
        <f aca="false">IFERROR(I35/PIB_2025,"n.d.")</f>
        <v>0.000171918880037204</v>
      </c>
      <c r="W35" s="30" t="s">
        <v>154</v>
      </c>
      <c r="X35" s="30" t="s">
        <v>154</v>
      </c>
      <c r="Y35" s="30" t="s">
        <v>154</v>
      </c>
      <c r="Z35" s="30" t="s">
        <v>154</v>
      </c>
      <c r="AA35" s="30" t="s">
        <v>50</v>
      </c>
      <c r="AB35" s="30" t="s">
        <v>823</v>
      </c>
    </row>
    <row r="36" customFormat="false" ht="32.8" hidden="false" customHeight="false" outlineLevel="0" collapsed="false">
      <c r="A36" s="30" t="s">
        <v>824</v>
      </c>
      <c r="B36" s="30" t="s">
        <v>825</v>
      </c>
      <c r="C36" s="30" t="s">
        <v>826</v>
      </c>
      <c r="D36" s="30" t="s">
        <v>140</v>
      </c>
      <c r="E36" s="30" t="s">
        <v>106</v>
      </c>
      <c r="F36" s="59" t="s">
        <v>730</v>
      </c>
      <c r="G36" s="59" t="s">
        <v>730</v>
      </c>
      <c r="H36" s="55" t="n">
        <v>41.4</v>
      </c>
      <c r="I36" s="59" t="s">
        <v>730</v>
      </c>
      <c r="J36" s="32" t="str">
        <f aca="false">IFERROR(F36*FATOR_2016,"n.d.")</f>
        <v>n.d.</v>
      </c>
      <c r="K36" s="32" t="str">
        <f aca="false">IFERROR(G36*FATOR_2019,"n.d.")</f>
        <v>n.d.</v>
      </c>
      <c r="L36" s="32" t="n">
        <f aca="false">IFERROR(H36*FATOR_2022,"n.d.")</f>
        <v>47.341974856698</v>
      </c>
      <c r="M36" s="33" t="str">
        <f aca="false">IFERROR(K36/J36-1,"n.d.")</f>
        <v>n.d.</v>
      </c>
      <c r="N36" s="33" t="str">
        <f aca="false">IFERROR(L36/K36-1,"n.d.")</f>
        <v>n.d.</v>
      </c>
      <c r="O36" s="33" t="str">
        <f aca="false">IFERROR(I36/L36-1,"n.d.")</f>
        <v>n.d.</v>
      </c>
      <c r="P36" s="33" t="str">
        <f aca="false">IFERROR(I36/J36-1,"n.d.")</f>
        <v>n.d.</v>
      </c>
      <c r="Q36" s="32" t="str">
        <f aca="false">IFERROR(I36-F36,"n.d.")</f>
        <v>n.d.</v>
      </c>
      <c r="R36" s="32" t="str">
        <f aca="false">IFERROR(I36-G36,"n.d.")</f>
        <v>n.d.</v>
      </c>
      <c r="S36" s="33" t="str">
        <f aca="false">IFERROR(F36/PIB_2016,"n.d.")</f>
        <v>n.d.</v>
      </c>
      <c r="T36" s="33" t="str">
        <f aca="false">IFERROR(G36/PIB_2019,"n.d.")</f>
        <v>n.d.</v>
      </c>
      <c r="U36" s="33" t="n">
        <f aca="false">IFERROR(H36/PIB_2022,"n.d.")</f>
        <v>0.00410727487669247</v>
      </c>
      <c r="V36" s="33" t="str">
        <f aca="false">IFERROR(I36/PIB_2025,"n.d.")</f>
        <v>n.d.</v>
      </c>
      <c r="W36" s="30" t="s">
        <v>436</v>
      </c>
      <c r="X36" s="30" t="s">
        <v>436</v>
      </c>
      <c r="Y36" s="30" t="s">
        <v>192</v>
      </c>
      <c r="Z36" s="30" t="s">
        <v>436</v>
      </c>
      <c r="AA36" s="30" t="s">
        <v>50</v>
      </c>
      <c r="AB36" s="30" t="s">
        <v>827</v>
      </c>
    </row>
    <row r="37" customFormat="false" ht="32.8" hidden="false" customHeight="false" outlineLevel="0" collapsed="false">
      <c r="A37" s="30" t="s">
        <v>828</v>
      </c>
      <c r="B37" s="30" t="s">
        <v>829</v>
      </c>
      <c r="C37" s="30" t="s">
        <v>319</v>
      </c>
      <c r="D37" s="30" t="s">
        <v>140</v>
      </c>
      <c r="E37" s="30" t="s">
        <v>106</v>
      </c>
      <c r="F37" s="55" t="n">
        <v>2.170886</v>
      </c>
      <c r="G37" s="55" t="n">
        <v>2.195672</v>
      </c>
      <c r="H37" s="55" t="n">
        <v>2.827438</v>
      </c>
      <c r="I37" s="57" t="n">
        <v>3.62178</v>
      </c>
      <c r="J37" s="32" t="n">
        <f aca="false">IFERROR(F37*FATOR_2016,"n.d.")</f>
        <v>3.36530741356032</v>
      </c>
      <c r="K37" s="32" t="n">
        <f aca="false">IFERROR(G37*FATOR_2019,"n.d.")</f>
        <v>3.05534449713453</v>
      </c>
      <c r="L37" s="32" t="n">
        <f aca="false">IFERROR(H37*FATOR_2022,"n.d.")</f>
        <v>3.23324876098726</v>
      </c>
      <c r="M37" s="33" t="n">
        <f aca="false">IFERROR(K37/J37-1,"n.d.")</f>
        <v>-0.0921053794897918</v>
      </c>
      <c r="N37" s="33" t="n">
        <f aca="false">IFERROR(L37/K37-1,"n.d.")</f>
        <v>0.0582272355930971</v>
      </c>
      <c r="O37" s="33" t="n">
        <f aca="false">IFERROR(I37/L37-1,"n.d.")</f>
        <v>0.120167443872802</v>
      </c>
      <c r="P37" s="33" t="n">
        <f aca="false">IFERROR(I37/J37-1,"n.d.")</f>
        <v>0.0762107453857686</v>
      </c>
      <c r="Q37" s="32" t="n">
        <f aca="false">IFERROR(I37-F37,"n.d.")</f>
        <v>1.450894</v>
      </c>
      <c r="R37" s="32" t="n">
        <f aca="false">IFERROR(I37-G37,"n.d.")</f>
        <v>1.426108</v>
      </c>
      <c r="S37" s="33" t="n">
        <f aca="false">IFERROR(F37/PIB_2016,"n.d.")</f>
        <v>0.000346270979325213</v>
      </c>
      <c r="T37" s="33" t="n">
        <f aca="false">IFERROR(G37/PIB_2019,"n.d.")</f>
        <v>0.000297148879888582</v>
      </c>
      <c r="U37" s="33" t="n">
        <f aca="false">IFERROR(H37/PIB_2022,"n.d.")</f>
        <v>0.000280508817942164</v>
      </c>
      <c r="V37" s="33" t="n">
        <f aca="false">IFERROR(I37/PIB_2025,"n.d.")</f>
        <v>0.000284316146731116</v>
      </c>
      <c r="W37" s="30" t="s">
        <v>320</v>
      </c>
      <c r="X37" s="30" t="s">
        <v>321</v>
      </c>
      <c r="Y37" s="30" t="s">
        <v>322</v>
      </c>
      <c r="Z37" s="30" t="s">
        <v>323</v>
      </c>
      <c r="AA37" s="30" t="s">
        <v>50</v>
      </c>
      <c r="AB37" s="30" t="s">
        <v>830</v>
      </c>
    </row>
    <row r="38" customFormat="false" ht="32.8" hidden="false" customHeight="false" outlineLevel="0" collapsed="false">
      <c r="A38" s="35" t="s">
        <v>831</v>
      </c>
      <c r="B38" s="35" t="s">
        <v>832</v>
      </c>
      <c r="C38" s="35" t="s">
        <v>303</v>
      </c>
      <c r="D38" s="35" t="s">
        <v>140</v>
      </c>
      <c r="E38" s="35" t="s">
        <v>106</v>
      </c>
      <c r="F38" s="37" t="n">
        <f aca="false">F7+SUM(F16,F21,F26,F30)/1000</f>
        <v>28.801758</v>
      </c>
      <c r="G38" s="37" t="n">
        <f aca="false">G7+SUM(G16,G21,G26,G30)/1000</f>
        <v>33.90942</v>
      </c>
      <c r="H38" s="37" t="n">
        <f aca="false">H7+SUM(H16,H21,H26,H30)/1000</f>
        <v>114.40135</v>
      </c>
      <c r="I38" s="37" t="n">
        <f aca="false">I7+SUM(I16,I21,I26,I30)/1000</f>
        <v>174.105396</v>
      </c>
      <c r="J38" s="37" t="n">
        <f aca="false">IFERROR(F38*FATOR_2016,"n.d.")</f>
        <v>44.6484844072743</v>
      </c>
      <c r="K38" s="37" t="n">
        <f aca="false">IFERROR(G38*FATOR_2019,"n.d.")</f>
        <v>47.1859912582679</v>
      </c>
      <c r="L38" s="37" t="n">
        <f aca="false">IFERROR(H38*FATOR_2022,"n.d.")</f>
        <v>130.820913895466</v>
      </c>
      <c r="M38" s="38" t="n">
        <f aca="false">IFERROR(K38/J38-1,"n.d.")</f>
        <v>0.0568329896228277</v>
      </c>
      <c r="N38" s="38" t="n">
        <f aca="false">IFERROR(L38/K38-1,"n.d.")</f>
        <v>1.7724523827301</v>
      </c>
      <c r="O38" s="38" t="n">
        <f aca="false">IFERROR(I38/L38-1,"n.d.")</f>
        <v>0.330868213771389</v>
      </c>
      <c r="P38" s="38" t="n">
        <f aca="false">IFERROR(I38/J38-1,"n.d.")</f>
        <v>2.89946933947066</v>
      </c>
      <c r="Q38" s="37" t="n">
        <f aca="false">IFERROR(I38-F38,"n.d.")</f>
        <v>145.303638</v>
      </c>
      <c r="R38" s="37" t="n">
        <f aca="false">IFERROR(I38-G38,"n.d.")</f>
        <v>140.195976</v>
      </c>
      <c r="S38" s="38" t="n">
        <f aca="false">IFERROR(F38/PIB_2016,"n.d.")</f>
        <v>0.00459407493021181</v>
      </c>
      <c r="T38" s="38" t="n">
        <f aca="false">IFERROR(G38/PIB_2019,"n.d.")</f>
        <v>0.00458909444155206</v>
      </c>
      <c r="U38" s="38" t="n">
        <f aca="false">IFERROR(H38/PIB_2022,"n.d.")</f>
        <v>0.0113497050897271</v>
      </c>
      <c r="V38" s="38" t="n">
        <f aca="false">IFERROR(I38/PIB_2025,"n.d.")</f>
        <v>0.0136675820496593</v>
      </c>
      <c r="W38" s="35" t="s">
        <v>304</v>
      </c>
      <c r="X38" s="35" t="s">
        <v>304</v>
      </c>
      <c r="Y38" s="35" t="s">
        <v>304</v>
      </c>
      <c r="Z38" s="35" t="s">
        <v>304</v>
      </c>
      <c r="AA38" s="35" t="s">
        <v>52</v>
      </c>
      <c r="AB38" s="35" t="s">
        <v>833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" hidden="false" customHeight="false" outlineLevel="0" collapsed="false">
      <c r="A40" s="4" t="s">
        <v>457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" hidden="false" customHeight="false" outlineLevel="0" collapsed="false">
      <c r="A41" s="19" t="s">
        <v>834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" hidden="false" customHeight="false" outlineLevel="0" collapsed="false">
      <c r="A42" s="19" t="s">
        <v>835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" hidden="false" customHeight="false" outlineLevel="0" collapsed="false">
      <c r="A43" s="19" t="s">
        <v>836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" hidden="false" customHeight="false" outlineLevel="0" collapsed="false">
      <c r="A44" s="19" t="s">
        <v>837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" hidden="false" customHeight="false" outlineLevel="0" collapsed="false">
      <c r="A45" s="19" t="s">
        <v>838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" hidden="false" customHeight="false" outlineLevel="0" collapsed="false">
      <c r="A46" s="19" t="s">
        <v>839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" hidden="false" customHeight="false" outlineLevel="0" collapsed="false">
      <c r="A47" s="19" t="s">
        <v>840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" hidden="false" customHeight="false" outlineLevel="0" collapsed="false">
      <c r="A48" s="19" t="s">
        <v>841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" hidden="false" customHeight="false" outlineLevel="0" collapsed="false">
      <c r="A49" s="19" t="s">
        <v>842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" hidden="false" customHeight="false" outlineLevel="0" collapsed="false">
      <c r="A50" s="19" t="s">
        <v>843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" hidden="false" customHeight="false" outlineLevel="0" collapsed="false">
      <c r="A51" s="19" t="s">
        <v>844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</sheetData>
  <autoFilter ref="A3:AB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845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846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32.8" hidden="false" customHeight="false" outlineLevel="0" collapsed="false">
      <c r="A4" s="30" t="s">
        <v>325</v>
      </c>
      <c r="B4" s="30" t="s">
        <v>326</v>
      </c>
      <c r="C4" s="30" t="s">
        <v>327</v>
      </c>
      <c r="D4" s="30" t="s">
        <v>328</v>
      </c>
      <c r="E4" s="30" t="s">
        <v>106</v>
      </c>
      <c r="F4" s="55" t="n">
        <v>88.3</v>
      </c>
      <c r="G4" s="55" t="n">
        <v>55.314</v>
      </c>
      <c r="H4" s="55" t="n">
        <v>97.5</v>
      </c>
      <c r="I4" s="55" t="n">
        <v>169.7</v>
      </c>
      <c r="J4" s="32" t="n">
        <f aca="false">IFERROR(F4*FATOR_2016,"n.d.")</f>
        <v>136.882657411479</v>
      </c>
      <c r="K4" s="32" t="n">
        <f aca="false">IFERROR(G4*FATOR_2019,"n.d.")</f>
        <v>76.971116594145</v>
      </c>
      <c r="L4" s="32" t="n">
        <f aca="false">IFERROR(H4*FATOR_2022,"n.d.")</f>
        <v>111.493781365412</v>
      </c>
      <c r="M4" s="33" t="n">
        <f aca="false">IFERROR(K4/J4-1,"n.d.")</f>
        <v>-0.43768540113329</v>
      </c>
      <c r="N4" s="33" t="n">
        <f aca="false">IFERROR(L4/K4-1,"n.d.")</f>
        <v>0.44851453764532</v>
      </c>
      <c r="O4" s="33" t="n">
        <f aca="false">IFERROR(I4/L4-1,"n.d.")</f>
        <v>0.522057983160709</v>
      </c>
      <c r="P4" s="33" t="n">
        <f aca="false">IFERROR(I4/J4-1,"n.d.")</f>
        <v>0.239747994443663</v>
      </c>
      <c r="Q4" s="32" t="n">
        <f aca="false">IFERROR(I4-F4,"n.d.")</f>
        <v>81.4</v>
      </c>
      <c r="R4" s="32" t="n">
        <f aca="false">IFERROR(I4-G4,"n.d.")</f>
        <v>114.386</v>
      </c>
      <c r="S4" s="33" t="n">
        <f aca="false">IFERROR(F4/PIB_2016,"n.d.")</f>
        <v>0.0140844463847555</v>
      </c>
      <c r="T4" s="33" t="n">
        <f aca="false">IFERROR(G4/PIB_2019,"n.d.")</f>
        <v>0.00748585997460324</v>
      </c>
      <c r="U4" s="33" t="n">
        <f aca="false">IFERROR(H4/PIB_2022,"n.d.")</f>
        <v>0.00967292996322501</v>
      </c>
      <c r="V4" s="33" t="n">
        <f aca="false">IFERROR(I4/PIB_2025,"n.d.")</f>
        <v>0.0133217506585906</v>
      </c>
      <c r="W4" s="30" t="s">
        <v>329</v>
      </c>
      <c r="X4" s="30" t="s">
        <v>330</v>
      </c>
      <c r="Y4" s="30" t="s">
        <v>331</v>
      </c>
      <c r="Z4" s="30" t="s">
        <v>332</v>
      </c>
      <c r="AA4" s="30" t="s">
        <v>50</v>
      </c>
      <c r="AB4" s="30" t="s">
        <v>847</v>
      </c>
    </row>
    <row r="5" customFormat="false" ht="32.8" hidden="false" customHeight="false" outlineLevel="0" collapsed="false">
      <c r="A5" s="30" t="s">
        <v>334</v>
      </c>
      <c r="B5" s="30" t="s">
        <v>335</v>
      </c>
      <c r="C5" s="30" t="s">
        <v>336</v>
      </c>
      <c r="D5" s="30" t="s">
        <v>337</v>
      </c>
      <c r="E5" s="30" t="s">
        <v>106</v>
      </c>
      <c r="F5" s="55" t="n">
        <v>79.2</v>
      </c>
      <c r="G5" s="55" t="n">
        <v>63.077</v>
      </c>
      <c r="H5" s="57" t="n">
        <v>132.5</v>
      </c>
      <c r="I5" s="55" t="n">
        <v>237.9</v>
      </c>
      <c r="J5" s="32" t="n">
        <f aca="false">IFERROR(F5*FATOR_2016,"n.d.")</f>
        <v>122.775837678246</v>
      </c>
      <c r="K5" s="32" t="n">
        <f aca="false">IFERROR(G5*FATOR_2019,"n.d.")</f>
        <v>87.7735676575349</v>
      </c>
      <c r="L5" s="32" t="n">
        <f aca="false">IFERROR(H5*FATOR_2022,"n.d.")</f>
        <v>151.517190060688</v>
      </c>
      <c r="M5" s="33" t="n">
        <f aca="false">IFERROR(K5/J5-1,"n.d.")</f>
        <v>-0.285090867084453</v>
      </c>
      <c r="N5" s="33" t="n">
        <f aca="false">IFERROR(L5/K5-1,"n.d.")</f>
        <v>0.726227998978701</v>
      </c>
      <c r="O5" s="33" t="n">
        <f aca="false">IFERROR(I5/L5-1,"n.d.")</f>
        <v>0.570118874991759</v>
      </c>
      <c r="P5" s="33" t="n">
        <f aca="false">IFERROR(I5/J5-1,"n.d.")</f>
        <v>0.937677677455195</v>
      </c>
      <c r="Q5" s="32" t="n">
        <f aca="false">IFERROR(I5-F5,"n.d.")</f>
        <v>158.7</v>
      </c>
      <c r="R5" s="32" t="n">
        <f aca="false">IFERROR(I5-G5,"n.d.")</f>
        <v>174.823</v>
      </c>
      <c r="S5" s="33" t="n">
        <f aca="false">IFERROR(F5/PIB_2016,"n.d.")</f>
        <v>0.0126329349226799</v>
      </c>
      <c r="T5" s="33" t="n">
        <f aca="false">IFERROR(G5/PIB_2019,"n.d.")</f>
        <v>0.00853645712872055</v>
      </c>
      <c r="U5" s="33" t="n">
        <f aca="false">IFERROR(H5/PIB_2022,"n.d.")</f>
        <v>0.0131452637961776</v>
      </c>
      <c r="V5" s="33" t="n">
        <f aca="false">IFERROR(I5/PIB_2025,"n.d.")</f>
        <v>0.0186755714889729</v>
      </c>
      <c r="W5" s="30" t="s">
        <v>338</v>
      </c>
      <c r="X5" s="30" t="s">
        <v>339</v>
      </c>
      <c r="Y5" s="30" t="s">
        <v>340</v>
      </c>
      <c r="Z5" s="30" t="s">
        <v>339</v>
      </c>
      <c r="AA5" s="30" t="s">
        <v>50</v>
      </c>
      <c r="AB5" s="30" t="s">
        <v>848</v>
      </c>
    </row>
    <row r="6" customFormat="false" ht="22.35" hidden="false" customHeight="false" outlineLevel="0" collapsed="false">
      <c r="A6" s="30" t="s">
        <v>849</v>
      </c>
      <c r="B6" s="30" t="s">
        <v>850</v>
      </c>
      <c r="C6" s="30" t="s">
        <v>851</v>
      </c>
      <c r="D6" s="30" t="s">
        <v>337</v>
      </c>
      <c r="E6" s="30" t="s">
        <v>106</v>
      </c>
      <c r="F6" s="59" t="s">
        <v>730</v>
      </c>
      <c r="G6" s="59" t="s">
        <v>730</v>
      </c>
      <c r="H6" s="59" t="s">
        <v>730</v>
      </c>
      <c r="I6" s="55" t="n">
        <v>128.2</v>
      </c>
      <c r="J6" s="32" t="str">
        <f aca="false">IFERROR(F6*FATOR_2016,"n.d.")</f>
        <v>n.d.</v>
      </c>
      <c r="K6" s="32" t="str">
        <f aca="false">IFERROR(G6*FATOR_2019,"n.d.")</f>
        <v>n.d.</v>
      </c>
      <c r="L6" s="32" t="str">
        <f aca="false">IFERROR(H6*FATOR_2022,"n.d.")</f>
        <v>n.d.</v>
      </c>
      <c r="M6" s="33" t="str">
        <f aca="false">IFERROR(K6/J6-1,"n.d.")</f>
        <v>n.d.</v>
      </c>
      <c r="N6" s="33" t="str">
        <f aca="false">IFERROR(L6/K6-1,"n.d.")</f>
        <v>n.d.</v>
      </c>
      <c r="O6" s="33" t="str">
        <f aca="false">IFERROR(I6/L6-1,"n.d.")</f>
        <v>n.d.</v>
      </c>
      <c r="P6" s="33" t="str">
        <f aca="false">IFERROR(I6/J6-1,"n.d.")</f>
        <v>n.d.</v>
      </c>
      <c r="Q6" s="32" t="str">
        <f aca="false">IFERROR(I6-F6,"n.d.")</f>
        <v>n.d.</v>
      </c>
      <c r="R6" s="32" t="str">
        <f aca="false">IFERROR(I6-G6,"n.d.")</f>
        <v>n.d.</v>
      </c>
      <c r="S6" s="33" t="str">
        <f aca="false">IFERROR(F6/PIB_2016,"n.d.")</f>
        <v>n.d.</v>
      </c>
      <c r="T6" s="33" t="str">
        <f aca="false">IFERROR(G6/PIB_2019,"n.d.")</f>
        <v>n.d.</v>
      </c>
      <c r="U6" s="33" t="str">
        <f aca="false">IFERROR(H6/PIB_2022,"n.d.")</f>
        <v>n.d.</v>
      </c>
      <c r="V6" s="33" t="n">
        <f aca="false">IFERROR(I6/PIB_2025,"n.d.")</f>
        <v>0.0100639271327715</v>
      </c>
      <c r="W6" s="30" t="s">
        <v>436</v>
      </c>
      <c r="X6" s="30" t="s">
        <v>852</v>
      </c>
      <c r="Y6" s="30" t="s">
        <v>436</v>
      </c>
      <c r="Z6" s="30" t="s">
        <v>339</v>
      </c>
      <c r="AA6" s="30" t="s">
        <v>50</v>
      </c>
      <c r="AB6" s="30" t="s">
        <v>853</v>
      </c>
    </row>
    <row r="7" customFormat="false" ht="43.25" hidden="false" customHeight="false" outlineLevel="0" collapsed="false">
      <c r="A7" s="42" t="s">
        <v>351</v>
      </c>
      <c r="B7" s="42" t="s">
        <v>854</v>
      </c>
      <c r="C7" s="42" t="s">
        <v>353</v>
      </c>
      <c r="D7" s="42" t="s">
        <v>354</v>
      </c>
      <c r="E7" s="42" t="s">
        <v>106</v>
      </c>
      <c r="F7" s="44" t="n">
        <f aca="false">F8+F9</f>
        <v>232.88</v>
      </c>
      <c r="G7" s="56" t="n">
        <v>225.59</v>
      </c>
      <c r="H7" s="56" t="n">
        <v>340.88</v>
      </c>
      <c r="I7" s="44" t="n">
        <f aca="false">I8+I9</f>
        <v>605.2</v>
      </c>
      <c r="J7" s="44" t="n">
        <f aca="false">IFERROR(F7*FATOR_2016,"n.d.")</f>
        <v>361.010569173106</v>
      </c>
      <c r="K7" s="44" t="n">
        <f aca="false">IFERROR(G7*FATOR_2019,"n.d.")</f>
        <v>313.915359447394</v>
      </c>
      <c r="L7" s="44" t="n">
        <f aca="false">IFERROR(H7*FATOR_2022,"n.d.")</f>
        <v>389.805130172735</v>
      </c>
      <c r="M7" s="45" t="n">
        <f aca="false">IFERROR(K7/J7-1,"n.d.")</f>
        <v>-0.130453825309277</v>
      </c>
      <c r="N7" s="45" t="n">
        <f aca="false">IFERROR(L7/K7-1,"n.d.")</f>
        <v>0.241752333682984</v>
      </c>
      <c r="O7" s="45" t="n">
        <f aca="false">IFERROR(I7/L7-1,"n.d.")</f>
        <v>0.552570638903129</v>
      </c>
      <c r="P7" s="45" t="n">
        <f aca="false">IFERROR(I7/J7-1,"n.d.")</f>
        <v>0.676405212695601</v>
      </c>
      <c r="Q7" s="44" t="n">
        <f aca="false">IFERROR(I7-F7,"n.d.")</f>
        <v>372.32</v>
      </c>
      <c r="R7" s="44" t="n">
        <f aca="false">IFERROR(I7-G7,"n.d.")</f>
        <v>379.61</v>
      </c>
      <c r="S7" s="45" t="n">
        <f aca="false">IFERROR(F7/PIB_2016,"n.d.")</f>
        <v>0.0371459328888093</v>
      </c>
      <c r="T7" s="45" t="n">
        <f aca="false">IFERROR(G7/PIB_2019,"n.d.")</f>
        <v>0.0305299770703754</v>
      </c>
      <c r="U7" s="45" t="n">
        <f aca="false">IFERROR(H7/PIB_2022,"n.d.")</f>
        <v>0.0338185473421963</v>
      </c>
      <c r="V7" s="45" t="n">
        <f aca="false">IFERROR(I7/PIB_2025,"n.d.")</f>
        <v>0.0475092722367651</v>
      </c>
      <c r="W7" s="42" t="s">
        <v>355</v>
      </c>
      <c r="X7" s="42" t="s">
        <v>356</v>
      </c>
      <c r="Y7" s="42" t="s">
        <v>357</v>
      </c>
      <c r="Z7" s="42" t="s">
        <v>358</v>
      </c>
      <c r="AA7" s="42" t="s">
        <v>54</v>
      </c>
      <c r="AB7" s="42" t="s">
        <v>855</v>
      </c>
    </row>
    <row r="8" customFormat="false" ht="22.35" hidden="false" customHeight="false" outlineLevel="0" collapsed="false">
      <c r="A8" s="35" t="s">
        <v>856</v>
      </c>
      <c r="B8" s="35" t="s">
        <v>857</v>
      </c>
      <c r="C8" s="35" t="s">
        <v>858</v>
      </c>
      <c r="D8" s="35" t="s">
        <v>140</v>
      </c>
      <c r="E8" s="35" t="s">
        <v>106</v>
      </c>
      <c r="F8" s="57" t="n">
        <v>202.88</v>
      </c>
      <c r="G8" s="37" t="n">
        <f aca="false">G7-G9</f>
        <v>194.37</v>
      </c>
      <c r="H8" s="37" t="n">
        <f aca="false">H7-H9</f>
        <v>287.27</v>
      </c>
      <c r="I8" s="57" t="n">
        <v>516.2</v>
      </c>
      <c r="J8" s="37" t="n">
        <f aca="false">IFERROR(F8*FATOR_2016,"n.d.")</f>
        <v>314.504570052558</v>
      </c>
      <c r="K8" s="37" t="n">
        <f aca="false">IFERROR(G8*FATOR_2019,"n.d.")</f>
        <v>270.471778074339</v>
      </c>
      <c r="L8" s="37" t="n">
        <f aca="false">IFERROR(H8*FATOR_2022,"n.d.")</f>
        <v>328.500703311199</v>
      </c>
      <c r="M8" s="38" t="n">
        <f aca="false">IFERROR(K8/J8-1,"n.d.")</f>
        <v>-0.140006843051154</v>
      </c>
      <c r="N8" s="38" t="n">
        <f aca="false">IFERROR(L8/K8-1,"n.d.")</f>
        <v>0.214547061619535</v>
      </c>
      <c r="O8" s="38" t="n">
        <f aca="false">IFERROR(I8/L8-1,"n.d.")</f>
        <v>0.571381719420514</v>
      </c>
      <c r="P8" s="38" t="n">
        <f aca="false">IFERROR(I8/J8-1,"n.d.")</f>
        <v>0.641311602924359</v>
      </c>
      <c r="Q8" s="37" t="n">
        <f aca="false">IFERROR(I8-F8,"n.d.")</f>
        <v>313.32</v>
      </c>
      <c r="R8" s="37" t="n">
        <f aca="false">IFERROR(I8-G8,"n.d.")</f>
        <v>321.83</v>
      </c>
      <c r="S8" s="38" t="n">
        <f aca="false">IFERROR(F8/PIB_2016,"n.d.")</f>
        <v>0.032360730266582</v>
      </c>
      <c r="T8" s="38" t="n">
        <f aca="false">IFERROR(G8/PIB_2019,"n.d.")</f>
        <v>0.0263048523567927</v>
      </c>
      <c r="U8" s="38" t="n">
        <f aca="false">IFERROR(H8/PIB_2022,"n.d.")</f>
        <v>0.0284999240054938</v>
      </c>
      <c r="V8" s="38" t="n">
        <f aca="false">IFERROR(I8/PIB_2025,"n.d.")</f>
        <v>0.0405226145548879</v>
      </c>
      <c r="W8" s="35" t="s">
        <v>357</v>
      </c>
      <c r="X8" s="35" t="s">
        <v>859</v>
      </c>
      <c r="Y8" s="35" t="s">
        <v>859</v>
      </c>
      <c r="Z8" s="35" t="s">
        <v>356</v>
      </c>
      <c r="AA8" s="35" t="s">
        <v>52</v>
      </c>
      <c r="AB8" s="35" t="s">
        <v>860</v>
      </c>
    </row>
    <row r="9" customFormat="false" ht="22.35" hidden="false" customHeight="false" outlineLevel="0" collapsed="false">
      <c r="A9" s="42" t="s">
        <v>861</v>
      </c>
      <c r="B9" s="42" t="s">
        <v>862</v>
      </c>
      <c r="C9" s="42" t="s">
        <v>858</v>
      </c>
      <c r="D9" s="42" t="s">
        <v>140</v>
      </c>
      <c r="E9" s="42" t="s">
        <v>106</v>
      </c>
      <c r="F9" s="56" t="n">
        <v>30</v>
      </c>
      <c r="G9" s="56" t="n">
        <v>31.22</v>
      </c>
      <c r="H9" s="56" t="n">
        <v>53.61</v>
      </c>
      <c r="I9" s="56" t="n">
        <v>89</v>
      </c>
      <c r="J9" s="44" t="n">
        <f aca="false">IFERROR(F9*FATOR_2016,"n.d.")</f>
        <v>46.5059991205478</v>
      </c>
      <c r="K9" s="44" t="n">
        <f aca="false">IFERROR(G9*FATOR_2019,"n.d.")</f>
        <v>43.4435813730558</v>
      </c>
      <c r="L9" s="44" t="n">
        <f aca="false">IFERROR(H9*FATOR_2022,"n.d.")</f>
        <v>61.3044268615358</v>
      </c>
      <c r="M9" s="45" t="n">
        <f aca="false">IFERROR(K9/J9-1,"n.d.")</f>
        <v>-0.0658499506602134</v>
      </c>
      <c r="N9" s="45" t="n">
        <f aca="false">IFERROR(L9/K9-1,"n.d.")</f>
        <v>0.411127373111957</v>
      </c>
      <c r="O9" s="45" t="n">
        <f aca="false">IFERROR(I9/L9-1,"n.d.")</f>
        <v>0.451771177977382</v>
      </c>
      <c r="P9" s="45" t="n">
        <f aca="false">IFERROR(I9/J9-1,"n.d.")</f>
        <v>0.913731597708586</v>
      </c>
      <c r="Q9" s="44" t="n">
        <f aca="false">IFERROR(I9-F9,"n.d.")</f>
        <v>59</v>
      </c>
      <c r="R9" s="44" t="n">
        <f aca="false">IFERROR(I9-G9,"n.d.")</f>
        <v>57.78</v>
      </c>
      <c r="S9" s="45" t="n">
        <f aca="false">IFERROR(F9/PIB_2016,"n.d.")</f>
        <v>0.00478520262222723</v>
      </c>
      <c r="T9" s="45" t="n">
        <f aca="false">IFERROR(G9/PIB_2019,"n.d.")</f>
        <v>0.00422512471358269</v>
      </c>
      <c r="U9" s="45" t="n">
        <f aca="false">IFERROR(H9/PIB_2022,"n.d.")</f>
        <v>0.00531862333670249</v>
      </c>
      <c r="V9" s="45" t="n">
        <f aca="false">IFERROR(I9/PIB_2025,"n.d.")</f>
        <v>0.00698665768187722</v>
      </c>
      <c r="W9" s="42" t="s">
        <v>863</v>
      </c>
      <c r="X9" s="42" t="s">
        <v>356</v>
      </c>
      <c r="Y9" s="42" t="s">
        <v>357</v>
      </c>
      <c r="Z9" s="42" t="s">
        <v>864</v>
      </c>
      <c r="AA9" s="42" t="s">
        <v>54</v>
      </c>
      <c r="AB9" s="42" t="s">
        <v>865</v>
      </c>
    </row>
    <row r="10" customFormat="false" ht="22.35" hidden="false" customHeight="false" outlineLevel="0" collapsed="false">
      <c r="A10" s="30" t="s">
        <v>342</v>
      </c>
      <c r="B10" s="30" t="s">
        <v>866</v>
      </c>
      <c r="C10" s="30" t="s">
        <v>690</v>
      </c>
      <c r="D10" s="30" t="s">
        <v>140</v>
      </c>
      <c r="E10" s="30" t="s">
        <v>106</v>
      </c>
      <c r="F10" s="55" t="n">
        <v>7.258</v>
      </c>
      <c r="G10" s="55" t="n">
        <v>7.38</v>
      </c>
      <c r="H10" s="55" t="n">
        <v>12.953</v>
      </c>
      <c r="I10" s="55" t="n">
        <v>19.03</v>
      </c>
      <c r="J10" s="32" t="n">
        <f aca="false">IFERROR(F10*FATOR_2016,"n.d.")</f>
        <v>11.2513513872312</v>
      </c>
      <c r="K10" s="32" t="n">
        <f aca="false">IFERROR(G10*FATOR_2019,"n.d.")</f>
        <v>10.2694948921573</v>
      </c>
      <c r="L10" s="32" t="n">
        <f aca="false">IFERROR(H10*FATOR_2022,"n.d.")</f>
        <v>14.8120917951403</v>
      </c>
      <c r="M10" s="33" t="n">
        <f aca="false">IFERROR(K10/J10-1,"n.d.")</f>
        <v>-0.0872656502567458</v>
      </c>
      <c r="N10" s="33" t="n">
        <f aca="false">IFERROR(L10/K10-1,"n.d.")</f>
        <v>0.442338883332238</v>
      </c>
      <c r="O10" s="33" t="n">
        <f aca="false">IFERROR(I10/L10-1,"n.d.")</f>
        <v>0.284761144016372</v>
      </c>
      <c r="P10" s="33" t="n">
        <f aca="false">IFERROR(I10/J10-1,"n.d.")</f>
        <v>0.691352384709676</v>
      </c>
      <c r="Q10" s="32" t="n">
        <f aca="false">IFERROR(I10-F10,"n.d.")</f>
        <v>11.772</v>
      </c>
      <c r="R10" s="32" t="n">
        <f aca="false">IFERROR(I10-G10,"n.d.")</f>
        <v>11.65</v>
      </c>
      <c r="S10" s="33" t="n">
        <f aca="false">IFERROR(F10/PIB_2016,"n.d.")</f>
        <v>0.00115770002107084</v>
      </c>
      <c r="T10" s="33" t="n">
        <f aca="false">IFERROR(G10/PIB_2019,"n.d.")</f>
        <v>0.000998764266055102</v>
      </c>
      <c r="U10" s="33" t="n">
        <f aca="false">IFERROR(H10/PIB_2022,"n.d.")</f>
        <v>0.0012850611468067</v>
      </c>
      <c r="V10" s="33" t="n">
        <f aca="false">IFERROR(I10/PIB_2025,"n.d.")</f>
        <v>0.00149388871557442</v>
      </c>
      <c r="W10" s="30" t="s">
        <v>235</v>
      </c>
      <c r="X10" s="30" t="s">
        <v>235</v>
      </c>
      <c r="Y10" s="30" t="s">
        <v>235</v>
      </c>
      <c r="Z10" s="30" t="s">
        <v>235</v>
      </c>
      <c r="AA10" s="30" t="s">
        <v>50</v>
      </c>
      <c r="AB10" s="30" t="s">
        <v>691</v>
      </c>
    </row>
    <row r="11" customFormat="false" ht="22.35" hidden="false" customHeight="false" outlineLevel="0" collapsed="false">
      <c r="A11" s="30" t="s">
        <v>342</v>
      </c>
      <c r="B11" s="30" t="s">
        <v>866</v>
      </c>
      <c r="C11" s="30" t="s">
        <v>692</v>
      </c>
      <c r="D11" s="30" t="s">
        <v>140</v>
      </c>
      <c r="E11" s="30" t="s">
        <v>106</v>
      </c>
      <c r="F11" s="55" t="n">
        <v>7.372</v>
      </c>
      <c r="G11" s="55" t="n">
        <v>7.09</v>
      </c>
      <c r="H11" s="55" t="n">
        <v>11.075</v>
      </c>
      <c r="I11" s="55" t="n">
        <v>35.09</v>
      </c>
      <c r="J11" s="32" t="n">
        <f aca="false">IFERROR(F11*FATOR_2016,"n.d.")</f>
        <v>11.4280741838893</v>
      </c>
      <c r="K11" s="32" t="n">
        <f aca="false">IFERROR(G11*FATOR_2019,"n.d.")</f>
        <v>9.86595105493163</v>
      </c>
      <c r="L11" s="32" t="n">
        <f aca="false">IFERROR(H11*FATOR_2022,"n.d.")</f>
        <v>12.6645500371481</v>
      </c>
      <c r="M11" s="33" t="n">
        <f aca="false">IFERROR(K11/J11-1,"n.d.")</f>
        <v>-0.136691721091542</v>
      </c>
      <c r="N11" s="33" t="n">
        <f aca="false">IFERROR(L11/K11-1,"n.d.")</f>
        <v>0.283662362263345</v>
      </c>
      <c r="O11" s="33" t="n">
        <f aca="false">IFERROR(I11/L11-1,"n.d.")</f>
        <v>1.77072615269179</v>
      </c>
      <c r="P11" s="33" t="n">
        <f aca="false">IFERROR(I11/J11-1,"n.d.")</f>
        <v>2.07050859448114</v>
      </c>
      <c r="Q11" s="32" t="n">
        <f aca="false">IFERROR(I11-F11,"n.d.")</f>
        <v>27.718</v>
      </c>
      <c r="R11" s="32" t="n">
        <f aca="false">IFERROR(I11-G11,"n.d.")</f>
        <v>28</v>
      </c>
      <c r="S11" s="33" t="n">
        <f aca="false">IFERROR(F11/PIB_2016,"n.d.")</f>
        <v>0.00117588379103531</v>
      </c>
      <c r="T11" s="33" t="n">
        <f aca="false">IFERROR(G11/PIB_2019,"n.d.")</f>
        <v>0.000959517431752123</v>
      </c>
      <c r="U11" s="33" t="n">
        <f aca="false">IFERROR(H11/PIB_2022,"n.d.")</f>
        <v>0.00109874563428428</v>
      </c>
      <c r="V11" s="33" t="n">
        <f aca="false">IFERROR(I11/PIB_2025,"n.d.")</f>
        <v>0.00275462716918058</v>
      </c>
      <c r="W11" s="30" t="s">
        <v>235</v>
      </c>
      <c r="X11" s="30" t="s">
        <v>235</v>
      </c>
      <c r="Y11" s="30" t="s">
        <v>235</v>
      </c>
      <c r="Z11" s="30" t="s">
        <v>235</v>
      </c>
      <c r="AA11" s="30" t="s">
        <v>50</v>
      </c>
      <c r="AB11" s="30" t="s">
        <v>436</v>
      </c>
    </row>
    <row r="12" customFormat="false" ht="22.35" hidden="false" customHeight="false" outlineLevel="0" collapsed="false">
      <c r="A12" s="30" t="s">
        <v>342</v>
      </c>
      <c r="B12" s="30" t="s">
        <v>866</v>
      </c>
      <c r="C12" s="30" t="s">
        <v>693</v>
      </c>
      <c r="D12" s="30" t="s">
        <v>140</v>
      </c>
      <c r="E12" s="30" t="s">
        <v>106</v>
      </c>
      <c r="F12" s="55" t="n">
        <v>6.975</v>
      </c>
      <c r="G12" s="55" t="n">
        <v>6.95</v>
      </c>
      <c r="H12" s="55" t="n">
        <v>9.273</v>
      </c>
      <c r="I12" s="55" t="n">
        <v>35.01</v>
      </c>
      <c r="J12" s="32" t="n">
        <f aca="false">IFERROR(F12*FATOR_2016,"n.d.")</f>
        <v>10.8126447955274</v>
      </c>
      <c r="K12" s="32" t="n">
        <f aca="false">IFERROR(G12*FATOR_2019,"n.d.")</f>
        <v>9.67113678868474</v>
      </c>
      <c r="L12" s="32" t="n">
        <f aca="false">IFERROR(H12*FATOR_2022,"n.d.")</f>
        <v>10.6039162523227</v>
      </c>
      <c r="M12" s="33" t="n">
        <f aca="false">IFERROR(K12/J12-1,"n.d.")</f>
        <v>-0.105571581091316</v>
      </c>
      <c r="N12" s="33" t="n">
        <f aca="false">IFERROR(L12/K12-1,"n.d.")</f>
        <v>0.0964498263254152</v>
      </c>
      <c r="O12" s="33" t="n">
        <f aca="false">IFERROR(I12/L12-1,"n.d.")</f>
        <v>2.30161038308194</v>
      </c>
      <c r="P12" s="33" t="n">
        <f aca="false">IFERROR(I12/J12-1,"n.d.")</f>
        <v>2.23787571515175</v>
      </c>
      <c r="Q12" s="32" t="n">
        <f aca="false">IFERROR(I12-F12,"n.d.")</f>
        <v>28.035</v>
      </c>
      <c r="R12" s="32" t="n">
        <f aca="false">IFERROR(I12-G12,"n.d.")</f>
        <v>28.06</v>
      </c>
      <c r="S12" s="33" t="n">
        <f aca="false">IFERROR(F12/PIB_2016,"n.d.")</f>
        <v>0.00111255960966783</v>
      </c>
      <c r="T12" s="33" t="n">
        <f aca="false">IFERROR(G12/PIB_2019,"n.d.")</f>
        <v>0.000940570684157582</v>
      </c>
      <c r="U12" s="33" t="n">
        <f aca="false">IFERROR(H12/PIB_2022,"n.d.")</f>
        <v>0.000919970046656262</v>
      </c>
      <c r="V12" s="33" t="n">
        <f aca="false">IFERROR(I12/PIB_2025,"n.d.")</f>
        <v>0.00274834702744406</v>
      </c>
      <c r="W12" s="30" t="s">
        <v>235</v>
      </c>
      <c r="X12" s="30" t="s">
        <v>235</v>
      </c>
      <c r="Y12" s="30" t="s">
        <v>235</v>
      </c>
      <c r="Z12" s="30" t="s">
        <v>235</v>
      </c>
      <c r="AA12" s="30" t="s">
        <v>50</v>
      </c>
      <c r="AB12" s="30" t="s">
        <v>436</v>
      </c>
    </row>
    <row r="13" customFormat="false" ht="22.35" hidden="false" customHeight="false" outlineLevel="0" collapsed="false">
      <c r="A13" s="30" t="s">
        <v>342</v>
      </c>
      <c r="B13" s="30" t="s">
        <v>866</v>
      </c>
      <c r="C13" s="30" t="s">
        <v>694</v>
      </c>
      <c r="D13" s="30" t="s">
        <v>140</v>
      </c>
      <c r="E13" s="30" t="s">
        <v>106</v>
      </c>
      <c r="F13" s="55" t="n">
        <v>5.908</v>
      </c>
      <c r="G13" s="55" t="n">
        <v>6.28</v>
      </c>
      <c r="H13" s="55" t="n">
        <v>8.112</v>
      </c>
      <c r="I13" s="55" t="n">
        <v>19.21</v>
      </c>
      <c r="J13" s="32" t="n">
        <f aca="false">IFERROR(F13*FATOR_2016,"n.d.")</f>
        <v>9.15858142680654</v>
      </c>
      <c r="K13" s="32" t="n">
        <f aca="false">IFERROR(G13*FATOR_2019,"n.d.")</f>
        <v>8.73881137164607</v>
      </c>
      <c r="L13" s="32" t="n">
        <f aca="false">IFERROR(H13*FATOR_2022,"n.d.")</f>
        <v>9.27628260960228</v>
      </c>
      <c r="M13" s="33" t="n">
        <f aca="false">IFERROR(K13/J13-1,"n.d.")</f>
        <v>-0.0458335232934473</v>
      </c>
      <c r="N13" s="33" t="n">
        <f aca="false">IFERROR(L13/K13-1,"n.d.")</f>
        <v>0.0615039294359967</v>
      </c>
      <c r="O13" s="33" t="n">
        <f aca="false">IFERROR(I13/L13-1,"n.d.")</f>
        <v>1.0708726554013</v>
      </c>
      <c r="P13" s="33" t="n">
        <f aca="false">IFERROR(I13/J13-1,"n.d.")</f>
        <v>1.09748640152651</v>
      </c>
      <c r="Q13" s="32" t="n">
        <f aca="false">IFERROR(I13-F13,"n.d.")</f>
        <v>13.302</v>
      </c>
      <c r="R13" s="32" t="n">
        <f aca="false">IFERROR(I13-G13,"n.d.")</f>
        <v>12.93</v>
      </c>
      <c r="S13" s="33" t="n">
        <f aca="false">IFERROR(F13/PIB_2016,"n.d.")</f>
        <v>0.000942365903070617</v>
      </c>
      <c r="T13" s="33" t="n">
        <f aca="false">IFERROR(G13/PIB_2019,"n.d.")</f>
        <v>0.000849896963526564</v>
      </c>
      <c r="U13" s="33" t="n">
        <f aca="false">IFERROR(H13/PIB_2022,"n.d.")</f>
        <v>0.000804787772940321</v>
      </c>
      <c r="V13" s="33" t="n">
        <f aca="false">IFERROR(I13/PIB_2025,"n.d.")</f>
        <v>0.00150801903448159</v>
      </c>
      <c r="W13" s="30" t="s">
        <v>235</v>
      </c>
      <c r="X13" s="30" t="s">
        <v>235</v>
      </c>
      <c r="Y13" s="30" t="s">
        <v>235</v>
      </c>
      <c r="Z13" s="30" t="s">
        <v>235</v>
      </c>
      <c r="AA13" s="30" t="s">
        <v>50</v>
      </c>
      <c r="AB13" s="30" t="s">
        <v>436</v>
      </c>
    </row>
    <row r="14" customFormat="false" ht="43.25" hidden="false" customHeight="false" outlineLevel="0" collapsed="false">
      <c r="A14" s="30" t="s">
        <v>342</v>
      </c>
      <c r="B14" s="30" t="s">
        <v>866</v>
      </c>
      <c r="C14" s="30" t="s">
        <v>695</v>
      </c>
      <c r="D14" s="30" t="s">
        <v>140</v>
      </c>
      <c r="E14" s="30" t="s">
        <v>106</v>
      </c>
      <c r="F14" s="55" t="n">
        <v>6.126</v>
      </c>
      <c r="G14" s="55" t="n">
        <v>6.371</v>
      </c>
      <c r="H14" s="55" t="n">
        <v>8.251</v>
      </c>
      <c r="I14" s="55" t="n">
        <v>23.768</v>
      </c>
      <c r="J14" s="32" t="n">
        <f aca="false">IFERROR(F14*FATOR_2016,"n.d.")</f>
        <v>9.49652502041586</v>
      </c>
      <c r="K14" s="32" t="n">
        <f aca="false">IFERROR(G14*FATOR_2019,"n.d.")</f>
        <v>8.86544064470655</v>
      </c>
      <c r="L14" s="32" t="n">
        <f aca="false">IFERROR(H14*FATOR_2022,"n.d.")</f>
        <v>9.43523271842066</v>
      </c>
      <c r="M14" s="33" t="n">
        <f aca="false">IFERROR(K14/J14-1,"n.d.")</f>
        <v>-0.0664542424047311</v>
      </c>
      <c r="N14" s="33" t="n">
        <f aca="false">IFERROR(L14/K14-1,"n.d.")</f>
        <v>0.0642711509274303</v>
      </c>
      <c r="O14" s="33" t="n">
        <f aca="false">IFERROR(I14/L14-1,"n.d.")</f>
        <v>1.51906876166362</v>
      </c>
      <c r="P14" s="33" t="n">
        <f aca="false">IFERROR(I14/J14-1,"n.d.")</f>
        <v>1.50281023310137</v>
      </c>
      <c r="Q14" s="32" t="n">
        <f aca="false">IFERROR(I14-F14,"n.d.")</f>
        <v>17.642</v>
      </c>
      <c r="R14" s="32" t="n">
        <f aca="false">IFERROR(I14-G14,"n.d.")</f>
        <v>17.397</v>
      </c>
      <c r="S14" s="33" t="n">
        <f aca="false">IFERROR(F14/PIB_2016,"n.d.")</f>
        <v>0.000977138375458801</v>
      </c>
      <c r="T14" s="33" t="n">
        <f aca="false">IFERROR(G14/PIB_2019,"n.d.")</f>
        <v>0.000862212349463015</v>
      </c>
      <c r="U14" s="33" t="n">
        <f aca="false">IFERROR(H14/PIB_2022,"n.d.")</f>
        <v>0.000818577898734047</v>
      </c>
      <c r="V14" s="33" t="n">
        <f aca="false">IFERROR(I14/PIB_2025,"n.d.")</f>
        <v>0.00186583010991975</v>
      </c>
      <c r="W14" s="30" t="s">
        <v>242</v>
      </c>
      <c r="X14" s="30" t="s">
        <v>242</v>
      </c>
      <c r="Y14" s="30" t="s">
        <v>242</v>
      </c>
      <c r="Z14" s="30" t="s">
        <v>242</v>
      </c>
      <c r="AA14" s="30" t="s">
        <v>50</v>
      </c>
      <c r="AB14" s="30" t="s">
        <v>867</v>
      </c>
    </row>
    <row r="15" customFormat="false" ht="22.35" hidden="false" customHeight="false" outlineLevel="0" collapsed="false">
      <c r="A15" s="42" t="s">
        <v>345</v>
      </c>
      <c r="B15" s="42" t="s">
        <v>868</v>
      </c>
      <c r="C15" s="42" t="s">
        <v>347</v>
      </c>
      <c r="D15" s="42" t="s">
        <v>105</v>
      </c>
      <c r="E15" s="42" t="s">
        <v>132</v>
      </c>
      <c r="F15" s="58" t="n">
        <v>0.0119584</v>
      </c>
      <c r="G15" s="72" t="n">
        <v>0.0115115</v>
      </c>
      <c r="H15" s="58" t="n">
        <v>0.0118873</v>
      </c>
      <c r="I15" s="72" t="n">
        <v>0.011938</v>
      </c>
      <c r="J15" s="44" t="s">
        <v>133</v>
      </c>
      <c r="K15" s="44" t="s">
        <v>133</v>
      </c>
      <c r="L15" s="44" t="s">
        <v>133</v>
      </c>
      <c r="M15" s="49" t="n">
        <f aca="false">IFERROR((G15-F15)*100,"n.d.")</f>
        <v>-0.04469</v>
      </c>
      <c r="N15" s="49" t="n">
        <f aca="false">IFERROR((H15-G15)*100,"n.d.")</f>
        <v>0.0375800000000001</v>
      </c>
      <c r="O15" s="49" t="n">
        <f aca="false">IFERROR((I15-H15)*100,"n.d.")</f>
        <v>0.00507000000000007</v>
      </c>
      <c r="P15" s="49" t="n">
        <f aca="false">IFERROR((I15-F15)*100,"n.d.")</f>
        <v>-0.00203999999999985</v>
      </c>
      <c r="Q15" s="49" t="n">
        <f aca="false">IFERROR((I15-F15)*100,"n.d.")</f>
        <v>-0.00203999999999985</v>
      </c>
      <c r="R15" s="49" t="n">
        <f aca="false">IFERROR((I15-G15)*100,"n.d.")</f>
        <v>0.0426500000000002</v>
      </c>
      <c r="S15" s="45" t="s">
        <v>133</v>
      </c>
      <c r="T15" s="45" t="s">
        <v>133</v>
      </c>
      <c r="U15" s="45" t="s">
        <v>133</v>
      </c>
      <c r="V15" s="45" t="s">
        <v>133</v>
      </c>
      <c r="W15" s="42" t="s">
        <v>348</v>
      </c>
      <c r="X15" s="42" t="s">
        <v>348</v>
      </c>
      <c r="Y15" s="42" t="s">
        <v>348</v>
      </c>
      <c r="Z15" s="42" t="s">
        <v>349</v>
      </c>
      <c r="AA15" s="42" t="s">
        <v>54</v>
      </c>
      <c r="AB15" s="42" t="s">
        <v>869</v>
      </c>
    </row>
    <row r="16" customFormat="false" ht="22.35" hidden="false" customHeight="false" outlineLevel="0" collapsed="false">
      <c r="A16" s="35" t="s">
        <v>870</v>
      </c>
      <c r="B16" s="35" t="s">
        <v>871</v>
      </c>
      <c r="C16" s="35" t="s">
        <v>872</v>
      </c>
      <c r="D16" s="35" t="s">
        <v>105</v>
      </c>
      <c r="E16" s="35" t="s">
        <v>106</v>
      </c>
      <c r="F16" s="37" t="n">
        <f aca="false">F15*PIB_2016</f>
        <v>74.9711199968</v>
      </c>
      <c r="G16" s="37" t="n">
        <f aca="false">G15*PIB_2019</f>
        <v>85.0599815065</v>
      </c>
      <c r="H16" s="37" t="n">
        <f aca="false">H15*PIB_2022</f>
        <v>119.8201325148</v>
      </c>
      <c r="I16" s="37" t="n">
        <f aca="false">I15*PIB_2025</f>
        <v>152.073000908</v>
      </c>
      <c r="J16" s="37" t="n">
        <f aca="false">IFERROR(F16*FATOR_2016,"n.d.")</f>
        <v>116.220228021255</v>
      </c>
      <c r="K16" s="37" t="n">
        <f aca="false">IFERROR(G16*FATOR_2019,"n.d.")</f>
        <v>118.363556315447</v>
      </c>
      <c r="L16" s="37" t="n">
        <f aca="false">IFERROR(H16*FATOR_2022,"n.d.")</f>
        <v>137.017432387485</v>
      </c>
      <c r="M16" s="38" t="n">
        <f aca="false">IFERROR(K16/J16-1,"n.d.")</f>
        <v>0.018441955679174</v>
      </c>
      <c r="N16" s="38" t="n">
        <f aca="false">IFERROR(L16/K16-1,"n.d.")</f>
        <v>0.15759813791269</v>
      </c>
      <c r="O16" s="38" t="n">
        <f aca="false">IFERROR(I16/L16-1,"n.d.")</f>
        <v>0.109880679109047</v>
      </c>
      <c r="P16" s="38" t="n">
        <f aca="false">IFERROR(I16/J16-1,"n.d.")</f>
        <v>0.308489954779537</v>
      </c>
      <c r="Q16" s="37" t="n">
        <f aca="false">IFERROR(I16-F16,"n.d.")</f>
        <v>77.1018809112</v>
      </c>
      <c r="R16" s="37" t="n">
        <f aca="false">IFERROR(I16-G16,"n.d.")</f>
        <v>67.0130194015</v>
      </c>
      <c r="S16" s="38" t="n">
        <f aca="false">IFERROR(F16/PIB_2016,"n.d.")</f>
        <v>0.0119584</v>
      </c>
      <c r="T16" s="38" t="n">
        <f aca="false">IFERROR(G16/PIB_2019,"n.d.")</f>
        <v>0.0115115</v>
      </c>
      <c r="U16" s="38" t="n">
        <f aca="false">IFERROR(H16/PIB_2022,"n.d.")</f>
        <v>0.0118873</v>
      </c>
      <c r="V16" s="38" t="n">
        <f aca="false">IFERROR(I16/PIB_2025,"n.d.")</f>
        <v>0.011938</v>
      </c>
      <c r="W16" s="35" t="s">
        <v>873</v>
      </c>
      <c r="X16" s="35" t="s">
        <v>873</v>
      </c>
      <c r="Y16" s="35" t="s">
        <v>873</v>
      </c>
      <c r="Z16" s="35" t="s">
        <v>874</v>
      </c>
      <c r="AA16" s="35" t="s">
        <v>52</v>
      </c>
      <c r="AB16" s="35" t="s">
        <v>875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" hidden="false" customHeight="false" outlineLevel="0" collapsed="false">
      <c r="A18" s="4" t="s">
        <v>457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5" hidden="false" customHeight="false" outlineLevel="0" collapsed="false">
      <c r="A19" s="19" t="s">
        <v>876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19" t="s">
        <v>877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19" t="s">
        <v>878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19" t="s">
        <v>461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19" t="s">
        <v>462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19" t="s">
        <v>463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19" t="s">
        <v>464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19" t="s">
        <v>465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19" t="s">
        <v>466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</sheetData>
  <autoFilter ref="A3:AB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880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43.25" hidden="false" customHeight="false" outlineLevel="0" collapsed="false">
      <c r="A4" s="42" t="s">
        <v>360</v>
      </c>
      <c r="B4" s="42" t="s">
        <v>361</v>
      </c>
      <c r="C4" s="42" t="s">
        <v>362</v>
      </c>
      <c r="D4" s="42" t="s">
        <v>105</v>
      </c>
      <c r="E4" s="42" t="s">
        <v>363</v>
      </c>
      <c r="F4" s="73" t="n">
        <v>38392395</v>
      </c>
      <c r="G4" s="74" t="n">
        <v>39054507</v>
      </c>
      <c r="H4" s="75" t="n">
        <v>42716337</v>
      </c>
      <c r="I4" s="74" t="n">
        <v>48474348</v>
      </c>
      <c r="J4" s="44" t="s">
        <v>133</v>
      </c>
      <c r="K4" s="44" t="s">
        <v>133</v>
      </c>
      <c r="L4" s="44" t="s">
        <v>133</v>
      </c>
      <c r="M4" s="45" t="n">
        <f aca="false">IFERROR(G4/F4-1,"n.d.")</f>
        <v>0.0172459154996711</v>
      </c>
      <c r="N4" s="45" t="n">
        <f aca="false">IFERROR(H4/G4-1,"n.d.")</f>
        <v>0.0937620336623377</v>
      </c>
      <c r="O4" s="45" t="n">
        <f aca="false">IFERROR(I4/H4-1,"n.d.")</f>
        <v>0.134796459724531</v>
      </c>
      <c r="P4" s="45" t="n">
        <f aca="false">IFERROR(I4/F4-1,"n.d.")</f>
        <v>0.262602867052186</v>
      </c>
      <c r="Q4" s="76" t="n">
        <f aca="false">IFERROR(I4-F4,"n.d.")</f>
        <v>10081953</v>
      </c>
      <c r="R4" s="76" t="n">
        <f aca="false">IFERROR(I4-G4,"n.d.")</f>
        <v>9419841</v>
      </c>
      <c r="S4" s="45" t="s">
        <v>133</v>
      </c>
      <c r="T4" s="45" t="s">
        <v>133</v>
      </c>
      <c r="U4" s="45" t="s">
        <v>133</v>
      </c>
      <c r="V4" s="45" t="s">
        <v>133</v>
      </c>
      <c r="W4" s="42" t="s">
        <v>364</v>
      </c>
      <c r="X4" s="42" t="s">
        <v>365</v>
      </c>
      <c r="Y4" s="42" t="s">
        <v>366</v>
      </c>
      <c r="Z4" s="42" t="s">
        <v>367</v>
      </c>
      <c r="AA4" s="42" t="s">
        <v>54</v>
      </c>
      <c r="AB4" s="42" t="s">
        <v>881</v>
      </c>
    </row>
    <row r="5" customFormat="false" ht="32.8" hidden="false" customHeight="false" outlineLevel="0" collapsed="false">
      <c r="A5" s="42" t="s">
        <v>369</v>
      </c>
      <c r="B5" s="42" t="s">
        <v>370</v>
      </c>
      <c r="C5" s="42" t="s">
        <v>371</v>
      </c>
      <c r="D5" s="42" t="s">
        <v>105</v>
      </c>
      <c r="E5" s="42" t="s">
        <v>363</v>
      </c>
      <c r="F5" s="74" t="n">
        <v>14700000</v>
      </c>
      <c r="G5" s="74" t="n">
        <v>16197094</v>
      </c>
      <c r="H5" s="74" t="n">
        <v>22648395</v>
      </c>
      <c r="I5" s="74" t="n">
        <v>26599777</v>
      </c>
      <c r="J5" s="44" t="s">
        <v>133</v>
      </c>
      <c r="K5" s="44" t="s">
        <v>133</v>
      </c>
      <c r="L5" s="44" t="s">
        <v>133</v>
      </c>
      <c r="M5" s="45" t="n">
        <f aca="false">IFERROR(G5/F5-1,"n.d.")</f>
        <v>0.101843129251701</v>
      </c>
      <c r="N5" s="45" t="n">
        <f aca="false">IFERROR(H5/G5-1,"n.d.")</f>
        <v>0.398299904908868</v>
      </c>
      <c r="O5" s="45" t="n">
        <f aca="false">IFERROR(I5/H5-1,"n.d.")</f>
        <v>0.174466314279665</v>
      </c>
      <c r="P5" s="45" t="n">
        <f aca="false">IFERROR(I5/F5-1,"n.d.")</f>
        <v>0.809508639455782</v>
      </c>
      <c r="Q5" s="76" t="n">
        <f aca="false">IFERROR(I5-F5,"n.d.")</f>
        <v>11899777</v>
      </c>
      <c r="R5" s="76" t="n">
        <f aca="false">IFERROR(I5-G5,"n.d.")</f>
        <v>10402683</v>
      </c>
      <c r="S5" s="45" t="s">
        <v>133</v>
      </c>
      <c r="T5" s="45" t="s">
        <v>133</v>
      </c>
      <c r="U5" s="45" t="s">
        <v>133</v>
      </c>
      <c r="V5" s="45" t="s">
        <v>133</v>
      </c>
      <c r="W5" s="42" t="s">
        <v>372</v>
      </c>
      <c r="X5" s="42" t="s">
        <v>373</v>
      </c>
      <c r="Y5" s="42" t="s">
        <v>366</v>
      </c>
      <c r="Z5" s="42" t="s">
        <v>374</v>
      </c>
      <c r="AA5" s="42" t="s">
        <v>54</v>
      </c>
      <c r="AB5" s="42" t="s">
        <v>882</v>
      </c>
    </row>
    <row r="6" customFormat="false" ht="22.35" hidden="false" customHeight="false" outlineLevel="0" collapsed="false">
      <c r="A6" s="42" t="s">
        <v>376</v>
      </c>
      <c r="B6" s="42" t="s">
        <v>377</v>
      </c>
      <c r="C6" s="42" t="s">
        <v>371</v>
      </c>
      <c r="D6" s="42" t="s">
        <v>105</v>
      </c>
      <c r="E6" s="42" t="s">
        <v>363</v>
      </c>
      <c r="F6" s="74" t="n">
        <v>16100000</v>
      </c>
      <c r="G6" s="74" t="n">
        <v>15553015</v>
      </c>
      <c r="H6" s="74" t="n">
        <v>20610413</v>
      </c>
      <c r="I6" s="74" t="n">
        <v>25320279</v>
      </c>
      <c r="J6" s="44" t="s">
        <v>133</v>
      </c>
      <c r="K6" s="44" t="s">
        <v>133</v>
      </c>
      <c r="L6" s="44" t="s">
        <v>133</v>
      </c>
      <c r="M6" s="45" t="n">
        <f aca="false">IFERROR(G6/F6-1,"n.d.")</f>
        <v>-0.0339742236024845</v>
      </c>
      <c r="N6" s="45" t="n">
        <f aca="false">IFERROR(H6/G6-1,"n.d.")</f>
        <v>0.325171550339275</v>
      </c>
      <c r="O6" s="45" t="n">
        <f aca="false">IFERROR(I6/H6-1,"n.d.")</f>
        <v>0.228518758939959</v>
      </c>
      <c r="P6" s="45" t="n">
        <f aca="false">IFERROR(I6/F6-1,"n.d.")</f>
        <v>0.572688136645963</v>
      </c>
      <c r="Q6" s="76" t="n">
        <f aca="false">IFERROR(I6-F6,"n.d.")</f>
        <v>9220279</v>
      </c>
      <c r="R6" s="76" t="n">
        <f aca="false">IFERROR(I6-G6,"n.d.")</f>
        <v>9767264</v>
      </c>
      <c r="S6" s="45" t="s">
        <v>133</v>
      </c>
      <c r="T6" s="45" t="s">
        <v>133</v>
      </c>
      <c r="U6" s="45" t="s">
        <v>133</v>
      </c>
      <c r="V6" s="45" t="s">
        <v>133</v>
      </c>
      <c r="W6" s="42" t="s">
        <v>372</v>
      </c>
      <c r="X6" s="42" t="s">
        <v>373</v>
      </c>
      <c r="Y6" s="42" t="s">
        <v>366</v>
      </c>
      <c r="Z6" s="42" t="s">
        <v>374</v>
      </c>
      <c r="AA6" s="42" t="s">
        <v>54</v>
      </c>
      <c r="AB6" s="42" t="s">
        <v>883</v>
      </c>
    </row>
    <row r="7" customFormat="false" ht="32.8" hidden="false" customHeight="false" outlineLevel="0" collapsed="false">
      <c r="A7" s="30" t="s">
        <v>379</v>
      </c>
      <c r="B7" s="30" t="s">
        <v>380</v>
      </c>
      <c r="C7" s="30" t="s">
        <v>381</v>
      </c>
      <c r="D7" s="30" t="s">
        <v>105</v>
      </c>
      <c r="E7" s="30" t="s">
        <v>363</v>
      </c>
      <c r="F7" s="75" t="n">
        <v>-1321994</v>
      </c>
      <c r="G7" s="77" t="n">
        <f aca="false">G5-G6</f>
        <v>644079</v>
      </c>
      <c r="H7" s="77" t="n">
        <f aca="false">H5-H6</f>
        <v>2037982</v>
      </c>
      <c r="I7" s="77" t="n">
        <f aca="false">I5-I6</f>
        <v>1279498</v>
      </c>
      <c r="J7" s="32" t="s">
        <v>133</v>
      </c>
      <c r="K7" s="32" t="s">
        <v>133</v>
      </c>
      <c r="L7" s="32" t="s">
        <v>133</v>
      </c>
      <c r="M7" s="33" t="n">
        <f aca="false">IFERROR(G7/F7-1,"n.d.")</f>
        <v>-1.48720266506505</v>
      </c>
      <c r="N7" s="33" t="n">
        <f aca="false">IFERROR(H7/G7-1,"n.d.")</f>
        <v>2.16418017044493</v>
      </c>
      <c r="O7" s="33" t="n">
        <f aca="false">IFERROR(I7/H7-1,"n.d.")</f>
        <v>-0.372174042754058</v>
      </c>
      <c r="P7" s="33" t="n">
        <f aca="false">IFERROR(I7/F7-1,"n.d.")</f>
        <v>-1.96785461961249</v>
      </c>
      <c r="Q7" s="77" t="n">
        <f aca="false">IFERROR(I7-F7,"n.d.")</f>
        <v>2601492</v>
      </c>
      <c r="R7" s="77" t="n">
        <f aca="false">IFERROR(I7-G7,"n.d.")</f>
        <v>635419</v>
      </c>
      <c r="S7" s="33" t="s">
        <v>133</v>
      </c>
      <c r="T7" s="33" t="s">
        <v>133</v>
      </c>
      <c r="U7" s="33" t="s">
        <v>133</v>
      </c>
      <c r="V7" s="33" t="s">
        <v>133</v>
      </c>
      <c r="W7" s="30" t="s">
        <v>382</v>
      </c>
      <c r="X7" s="30" t="s">
        <v>373</v>
      </c>
      <c r="Y7" s="30" t="s">
        <v>366</v>
      </c>
      <c r="Z7" s="30" t="s">
        <v>374</v>
      </c>
      <c r="AA7" s="30" t="s">
        <v>50</v>
      </c>
      <c r="AB7" s="30" t="s">
        <v>884</v>
      </c>
    </row>
    <row r="8" customFormat="false" ht="22.35" hidden="false" customHeight="false" outlineLevel="0" collapsed="false">
      <c r="A8" s="30" t="s">
        <v>384</v>
      </c>
      <c r="B8" s="30" t="s">
        <v>885</v>
      </c>
      <c r="C8" s="30" t="s">
        <v>386</v>
      </c>
      <c r="D8" s="30" t="s">
        <v>105</v>
      </c>
      <c r="E8" s="30" t="s">
        <v>132</v>
      </c>
      <c r="F8" s="58" t="n">
        <v>0.115</v>
      </c>
      <c r="G8" s="58" t="n">
        <v>0.119</v>
      </c>
      <c r="H8" s="58" t="n">
        <v>0.093</v>
      </c>
      <c r="I8" s="58" t="n">
        <v>0.056</v>
      </c>
      <c r="J8" s="32" t="s">
        <v>133</v>
      </c>
      <c r="K8" s="32" t="s">
        <v>133</v>
      </c>
      <c r="L8" s="32" t="s">
        <v>133</v>
      </c>
      <c r="M8" s="53" t="n">
        <f aca="false">IFERROR((G8-F8)*100,"n.d.")</f>
        <v>0.399999999999999</v>
      </c>
      <c r="N8" s="53" t="n">
        <f aca="false">IFERROR((H8-G8)*100,"n.d.")</f>
        <v>-2.6</v>
      </c>
      <c r="O8" s="53" t="n">
        <f aca="false">IFERROR((I8-H8)*100,"n.d.")</f>
        <v>-3.7</v>
      </c>
      <c r="P8" s="53" t="n">
        <f aca="false">IFERROR((I8-F8)*100,"n.d.")</f>
        <v>-5.9</v>
      </c>
      <c r="Q8" s="53" t="n">
        <f aca="false">IFERROR((I8-F8)*100,"n.d.")</f>
        <v>-5.9</v>
      </c>
      <c r="R8" s="53" t="n">
        <f aca="false">IFERROR((I8-G8)*100,"n.d.")</f>
        <v>-6.3</v>
      </c>
      <c r="S8" s="33" t="s">
        <v>133</v>
      </c>
      <c r="T8" s="33" t="s">
        <v>133</v>
      </c>
      <c r="U8" s="33" t="s">
        <v>133</v>
      </c>
      <c r="V8" s="33" t="s">
        <v>133</v>
      </c>
      <c r="W8" s="30" t="s">
        <v>387</v>
      </c>
      <c r="X8" s="30" t="s">
        <v>388</v>
      </c>
      <c r="Y8" s="30" t="s">
        <v>387</v>
      </c>
      <c r="Z8" s="30" t="s">
        <v>388</v>
      </c>
      <c r="AA8" s="30" t="s">
        <v>50</v>
      </c>
      <c r="AB8" s="30" t="s">
        <v>886</v>
      </c>
    </row>
    <row r="9" customFormat="false" ht="22.35" hidden="false" customHeight="false" outlineLevel="0" collapsed="false">
      <c r="A9" s="35" t="s">
        <v>887</v>
      </c>
      <c r="B9" s="35" t="s">
        <v>888</v>
      </c>
      <c r="C9" s="35" t="s">
        <v>889</v>
      </c>
      <c r="D9" s="35" t="s">
        <v>105</v>
      </c>
      <c r="E9" s="35" t="s">
        <v>132</v>
      </c>
      <c r="F9" s="78" t="n">
        <v>0.116</v>
      </c>
      <c r="G9" s="78" t="n">
        <v>0.11975</v>
      </c>
      <c r="H9" s="78" t="n">
        <v>0.0925</v>
      </c>
      <c r="I9" s="78" t="n">
        <v>0.05875</v>
      </c>
      <c r="J9" s="37" t="s">
        <v>133</v>
      </c>
      <c r="K9" s="37" t="s">
        <v>133</v>
      </c>
      <c r="L9" s="37" t="s">
        <v>133</v>
      </c>
      <c r="M9" s="40" t="n">
        <f aca="false">IFERROR((G9-F9)*100,"n.d.")</f>
        <v>0.374999999999999</v>
      </c>
      <c r="N9" s="40" t="n">
        <f aca="false">IFERROR((H9-G9)*100,"n.d.")</f>
        <v>-2.725</v>
      </c>
      <c r="O9" s="40" t="n">
        <f aca="false">IFERROR((I9-H9)*100,"n.d.")</f>
        <v>-3.375</v>
      </c>
      <c r="P9" s="40" t="n">
        <f aca="false">IFERROR((I9-F9)*100,"n.d.")</f>
        <v>-5.725</v>
      </c>
      <c r="Q9" s="40" t="n">
        <f aca="false">IFERROR((I9-F9)*100,"n.d.")</f>
        <v>-5.725</v>
      </c>
      <c r="R9" s="40" t="n">
        <f aca="false">IFERROR((I9-G9)*100,"n.d.")</f>
        <v>-6.1</v>
      </c>
      <c r="S9" s="38" t="s">
        <v>133</v>
      </c>
      <c r="T9" s="38" t="s">
        <v>133</v>
      </c>
      <c r="U9" s="38" t="s">
        <v>133</v>
      </c>
      <c r="V9" s="38" t="s">
        <v>133</v>
      </c>
      <c r="W9" s="35" t="s">
        <v>889</v>
      </c>
      <c r="X9" s="35" t="s">
        <v>890</v>
      </c>
      <c r="Y9" s="35" t="s">
        <v>889</v>
      </c>
      <c r="Z9" s="35" t="s">
        <v>890</v>
      </c>
      <c r="AA9" s="35" t="s">
        <v>52</v>
      </c>
      <c r="AB9" s="35" t="s">
        <v>891</v>
      </c>
    </row>
    <row r="10" customFormat="false" ht="32.8" hidden="false" customHeight="false" outlineLevel="0" collapsed="false">
      <c r="A10" s="30" t="s">
        <v>892</v>
      </c>
      <c r="B10" s="30" t="s">
        <v>893</v>
      </c>
      <c r="C10" s="30" t="s">
        <v>894</v>
      </c>
      <c r="D10" s="30" t="s">
        <v>105</v>
      </c>
      <c r="E10" s="30" t="s">
        <v>895</v>
      </c>
      <c r="F10" s="59" t="s">
        <v>730</v>
      </c>
      <c r="G10" s="70" t="n">
        <v>12.6</v>
      </c>
      <c r="H10" s="70" t="n">
        <v>10</v>
      </c>
      <c r="I10" s="70" t="n">
        <v>6.2</v>
      </c>
      <c r="J10" s="32" t="s">
        <v>133</v>
      </c>
      <c r="K10" s="32" t="s">
        <v>133</v>
      </c>
      <c r="L10" s="32" t="s">
        <v>133</v>
      </c>
      <c r="M10" s="33" t="str">
        <f aca="false">IFERROR(G10/F10-1,"n.d.")</f>
        <v>n.d.</v>
      </c>
      <c r="N10" s="33" t="n">
        <f aca="false">IFERROR(H10/G10-1,"n.d.")</f>
        <v>-0.206349206349206</v>
      </c>
      <c r="O10" s="33" t="n">
        <f aca="false">IFERROR(I10/H10-1,"n.d.")</f>
        <v>-0.38</v>
      </c>
      <c r="P10" s="33" t="str">
        <f aca="false">IFERROR(I10/F10-1,"n.d.")</f>
        <v>n.d.</v>
      </c>
      <c r="Q10" s="71" t="str">
        <f aca="false">IFERROR(I10-F10,"n.d.")</f>
        <v>n.d.</v>
      </c>
      <c r="R10" s="71" t="n">
        <f aca="false">IFERROR(I10-G10,"n.d.")</f>
        <v>-6.4</v>
      </c>
      <c r="S10" s="33" t="s">
        <v>133</v>
      </c>
      <c r="T10" s="33" t="s">
        <v>133</v>
      </c>
      <c r="U10" s="33" t="s">
        <v>133</v>
      </c>
      <c r="V10" s="33" t="s">
        <v>133</v>
      </c>
      <c r="W10" s="30" t="s">
        <v>896</v>
      </c>
      <c r="X10" s="30" t="s">
        <v>897</v>
      </c>
      <c r="Y10" s="30" t="s">
        <v>387</v>
      </c>
      <c r="Z10" s="30" t="s">
        <v>897</v>
      </c>
      <c r="AA10" s="30" t="s">
        <v>50</v>
      </c>
      <c r="AB10" s="30" t="s">
        <v>436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" hidden="false" customHeight="false" outlineLevel="0" collapsed="false">
      <c r="A12" s="4" t="s">
        <v>457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" hidden="false" customHeight="false" outlineLevel="0" collapsed="false">
      <c r="A13" s="19" t="s">
        <v>898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5" hidden="false" customHeight="false" outlineLevel="0" collapsed="false">
      <c r="A14" s="19" t="s">
        <v>899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15" hidden="false" customHeight="false" outlineLevel="0" collapsed="false">
      <c r="A15" s="19" t="s">
        <v>582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" hidden="false" customHeight="false" outlineLevel="0" collapsed="false">
      <c r="A16" s="19" t="s">
        <v>583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15" hidden="false" customHeight="false" outlineLevel="0" collapsed="false">
      <c r="A17" s="19" t="s">
        <v>584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" hidden="false" customHeight="false" outlineLevel="0" collapsed="false">
      <c r="A18" s="19" t="s">
        <v>585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5" hidden="false" customHeight="false" outlineLevel="0" collapsed="false">
      <c r="A19" s="19" t="s">
        <v>586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19" t="s">
        <v>587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</sheetData>
  <autoFilter ref="A3:AB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  <col collapsed="false" customWidth="true" hidden="false" outlineLevel="0" max="32" min="29" style="0" width="12"/>
  </cols>
  <sheetData>
    <row r="1" customFormat="false" ht="21.75" hidden="false" customHeight="true" outlineLevel="0" collapsed="false">
      <c r="A1" s="1" t="s">
        <v>900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901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  <c r="AC3" s="28" t="s">
        <v>902</v>
      </c>
      <c r="AD3" s="28" t="s">
        <v>903</v>
      </c>
      <c r="AE3" s="28" t="s">
        <v>904</v>
      </c>
      <c r="AF3" s="28" t="s">
        <v>905</v>
      </c>
    </row>
    <row r="4" customFormat="false" ht="22.35" hidden="false" customHeight="false" outlineLevel="0" collapsed="false">
      <c r="A4" s="30" t="s">
        <v>410</v>
      </c>
      <c r="B4" s="30" t="s">
        <v>411</v>
      </c>
      <c r="C4" s="30" t="s">
        <v>412</v>
      </c>
      <c r="D4" s="30" t="s">
        <v>105</v>
      </c>
      <c r="E4" s="30" t="s">
        <v>406</v>
      </c>
      <c r="F4" s="55" t="n">
        <v>179.526129214</v>
      </c>
      <c r="G4" s="55" t="n">
        <v>221.126807647</v>
      </c>
      <c r="H4" s="55" t="n">
        <v>334.13603822</v>
      </c>
      <c r="I4" s="55" t="n">
        <v>348.2784625</v>
      </c>
      <c r="J4" s="32" t="s">
        <v>133</v>
      </c>
      <c r="K4" s="32" t="s">
        <v>133</v>
      </c>
      <c r="L4" s="32" t="s">
        <v>133</v>
      </c>
      <c r="M4" s="33" t="n">
        <f aca="false">IFERROR(G4/F4-1,"n.d.")</f>
        <v>0.231724922801688</v>
      </c>
      <c r="N4" s="33" t="n">
        <f aca="false">IFERROR(H4/G4-1,"n.d.")</f>
        <v>0.511060742817779</v>
      </c>
      <c r="O4" s="33" t="n">
        <f aca="false">IFERROR(I4/H4-1,"n.d.")</f>
        <v>0.0423253485476727</v>
      </c>
      <c r="P4" s="33" t="n">
        <f aca="false">IFERROR(I4/F4-1,"n.d.")</f>
        <v>0.9399875885746</v>
      </c>
      <c r="Q4" s="32" t="n">
        <f aca="false">IFERROR(I4-F4,"n.d.")</f>
        <v>168.752333286</v>
      </c>
      <c r="R4" s="32" t="n">
        <f aca="false">IFERROR(I4-G4,"n.d.")</f>
        <v>127.151654853</v>
      </c>
      <c r="S4" s="33" t="n">
        <f aca="false">IFERROR(F4/(PIB_2016/PTAX_2016),"n.d.")</f>
        <v>0.099941690020625</v>
      </c>
      <c r="T4" s="33" t="n">
        <f aca="false">IFERROR(G4/(PIB_2019/PTAX_2019),"n.d.")</f>
        <v>0.118060389428931</v>
      </c>
      <c r="U4" s="33" t="n">
        <f aca="false">IFERROR(H4/(PIB_2022/PTAX_2022),"n.d.")</f>
        <v>0.171209339698093</v>
      </c>
      <c r="V4" s="33" t="n">
        <f aca="false">IFERROR(I4/(PIB_2025/PTAX_2025),"n.d.")</f>
        <v>0.152775619978201</v>
      </c>
      <c r="W4" s="30" t="s">
        <v>413</v>
      </c>
      <c r="X4" s="30" t="s">
        <v>414</v>
      </c>
      <c r="Y4" s="30" t="s">
        <v>413</v>
      </c>
      <c r="Z4" s="30" t="s">
        <v>413</v>
      </c>
      <c r="AA4" s="30" t="s">
        <v>50</v>
      </c>
      <c r="AB4" s="30" t="s">
        <v>906</v>
      </c>
      <c r="AC4" s="79" t="n">
        <f aca="false">IFERROR(F4*PTAX_2016,"n.d.")</f>
        <v>626.567135671935</v>
      </c>
      <c r="AD4" s="79" t="n">
        <f aca="false">IFERROR(G4*PTAX_2019,"n.d.")</f>
        <v>872.363683401386</v>
      </c>
      <c r="AE4" s="79" t="n">
        <f aca="false">IFERROR(H4*PTAX_2022,"n.d.")</f>
        <v>1725.73467233072</v>
      </c>
      <c r="AF4" s="79" t="n">
        <f aca="false">IFERROR(I4*PTAX_2025,"n.d.")</f>
        <v>1946.14231828323</v>
      </c>
    </row>
    <row r="5" customFormat="false" ht="15" hidden="false" customHeight="false" outlineLevel="0" collapsed="false">
      <c r="A5" s="30" t="s">
        <v>416</v>
      </c>
      <c r="B5" s="30" t="s">
        <v>417</v>
      </c>
      <c r="C5" s="30" t="s">
        <v>412</v>
      </c>
      <c r="D5" s="30" t="s">
        <v>105</v>
      </c>
      <c r="E5" s="30" t="s">
        <v>406</v>
      </c>
      <c r="F5" s="55" t="n">
        <v>139.321357653</v>
      </c>
      <c r="G5" s="55" t="n">
        <v>185.92796758</v>
      </c>
      <c r="H5" s="55" t="n">
        <v>272.610686946</v>
      </c>
      <c r="I5" s="55" t="n">
        <v>280.208433825</v>
      </c>
      <c r="J5" s="32" t="s">
        <v>133</v>
      </c>
      <c r="K5" s="32" t="s">
        <v>133</v>
      </c>
      <c r="L5" s="32" t="s">
        <v>133</v>
      </c>
      <c r="M5" s="33" t="n">
        <f aca="false">IFERROR(G5/F5-1,"n.d.")</f>
        <v>0.334525952891448</v>
      </c>
      <c r="N5" s="33" t="n">
        <f aca="false">IFERROR(H5/G5-1,"n.d.")</f>
        <v>0.466216677857798</v>
      </c>
      <c r="O5" s="33" t="n">
        <f aca="false">IFERROR(I5/H5-1,"n.d.")</f>
        <v>0.0278703192604661</v>
      </c>
      <c r="P5" s="33" t="n">
        <f aca="false">IFERROR(I5/F5-1,"n.d.")</f>
        <v>1.0112381801712</v>
      </c>
      <c r="Q5" s="32" t="n">
        <f aca="false">IFERROR(I5-F5,"n.d.")</f>
        <v>140.887076172</v>
      </c>
      <c r="R5" s="32" t="n">
        <f aca="false">IFERROR(I5-G5,"n.d.")</f>
        <v>94.280466245</v>
      </c>
      <c r="S5" s="33" t="n">
        <f aca="false">IFERROR(F5/(PIB_2016/PTAX_2016),"n.d.")</f>
        <v>0.0775598070362836</v>
      </c>
      <c r="T5" s="33" t="n">
        <f aca="false">IFERROR(G5/(PIB_2019/PTAX_2019),"n.d.")</f>
        <v>0.0992676034706109</v>
      </c>
      <c r="U5" s="33" t="n">
        <f aca="false">IFERROR(H5/(PIB_2022/PTAX_2022),"n.d.")</f>
        <v>0.1396841117627</v>
      </c>
      <c r="V5" s="33" t="n">
        <f aca="false">IFERROR(I5/(PIB_2025/PTAX_2025),"n.d.")</f>
        <v>0.122916062318195</v>
      </c>
      <c r="W5" s="30" t="s">
        <v>413</v>
      </c>
      <c r="X5" s="30" t="s">
        <v>418</v>
      </c>
      <c r="Y5" s="30" t="s">
        <v>413</v>
      </c>
      <c r="Z5" s="30" t="s">
        <v>418</v>
      </c>
      <c r="AA5" s="30" t="s">
        <v>50</v>
      </c>
      <c r="AB5" s="30" t="s">
        <v>907</v>
      </c>
      <c r="AC5" s="79" t="n">
        <f aca="false">IFERROR(F5*PTAX_2016,"n.d.")</f>
        <v>486.247792367363</v>
      </c>
      <c r="AD5" s="79" t="n">
        <f aca="false">IFERROR(G5*PTAX_2019,"n.d.")</f>
        <v>733.501326100398</v>
      </c>
      <c r="AE5" s="79" t="n">
        <f aca="false">IFERROR(H5*PTAX_2022,"n.d.")</f>
        <v>1407.9705889158</v>
      </c>
      <c r="AF5" s="79" t="n">
        <f aca="false">IFERROR(I5*PTAX_2025,"n.d.")</f>
        <v>1565.77437230044</v>
      </c>
    </row>
    <row r="6" customFormat="false" ht="15" hidden="false" customHeight="false" outlineLevel="0" collapsed="false">
      <c r="A6" s="30" t="s">
        <v>420</v>
      </c>
      <c r="B6" s="30" t="s">
        <v>421</v>
      </c>
      <c r="C6" s="30" t="s">
        <v>422</v>
      </c>
      <c r="D6" s="30" t="s">
        <v>105</v>
      </c>
      <c r="E6" s="30" t="s">
        <v>406</v>
      </c>
      <c r="F6" s="32" t="n">
        <f aca="false">F4-F5</f>
        <v>40.204771561</v>
      </c>
      <c r="G6" s="32" t="n">
        <f aca="false">G4-G5</f>
        <v>35.198840067</v>
      </c>
      <c r="H6" s="32" t="n">
        <f aca="false">H4-H5</f>
        <v>61.525351274</v>
      </c>
      <c r="I6" s="32" t="n">
        <f aca="false">I4-I5</f>
        <v>68.070028675</v>
      </c>
      <c r="J6" s="32" t="s">
        <v>133</v>
      </c>
      <c r="K6" s="32" t="s">
        <v>133</v>
      </c>
      <c r="L6" s="32" t="s">
        <v>133</v>
      </c>
      <c r="M6" s="33" t="n">
        <f aca="false">IFERROR(G6/F6-1,"n.d.")</f>
        <v>-0.124510880167665</v>
      </c>
      <c r="N6" s="33" t="n">
        <f aca="false">IFERROR(H6/G6-1,"n.d.")</f>
        <v>0.747936896695693</v>
      </c>
      <c r="O6" s="33" t="n">
        <f aca="false">IFERROR(I6/H6-1,"n.d.")</f>
        <v>0.106373669804072</v>
      </c>
      <c r="P6" s="33" t="n">
        <f aca="false">IFERROR(I6/F6-1,"n.d.")</f>
        <v>0.693083333945124</v>
      </c>
      <c r="Q6" s="32" t="n">
        <f aca="false">IFERROR(I6-F6,"n.d.")</f>
        <v>27.865257114</v>
      </c>
      <c r="R6" s="32" t="n">
        <f aca="false">IFERROR(I6-G6,"n.d.")</f>
        <v>32.871188608</v>
      </c>
      <c r="S6" s="33" t="n">
        <f aca="false">IFERROR(F6/(PIB_2016/PTAX_2016),"n.d.")</f>
        <v>0.0223818829843414</v>
      </c>
      <c r="T6" s="33" t="n">
        <f aca="false">IFERROR(G6/(PIB_2019/PTAX_2019),"n.d.")</f>
        <v>0.01879278595832</v>
      </c>
      <c r="U6" s="33" t="n">
        <f aca="false">IFERROR(H6/(PIB_2022/PTAX_2022),"n.d.")</f>
        <v>0.0315252279353932</v>
      </c>
      <c r="V6" s="33" t="n">
        <f aca="false">IFERROR(I6/(PIB_2025/PTAX_2025),"n.d.")</f>
        <v>0.0298595576600061</v>
      </c>
      <c r="W6" s="30" t="s">
        <v>423</v>
      </c>
      <c r="X6" s="30" t="s">
        <v>423</v>
      </c>
      <c r="Y6" s="30" t="s">
        <v>423</v>
      </c>
      <c r="Z6" s="30" t="s">
        <v>423</v>
      </c>
      <c r="AA6" s="30" t="s">
        <v>50</v>
      </c>
      <c r="AB6" s="30" t="s">
        <v>908</v>
      </c>
      <c r="AC6" s="79" t="n">
        <f aca="false">IFERROR(F6*PTAX_2016,"n.d.")</f>
        <v>140.319343304572</v>
      </c>
      <c r="AD6" s="79" t="n">
        <f aca="false">IFERROR(G6*PTAX_2019,"n.d.")</f>
        <v>138.862357300987</v>
      </c>
      <c r="AE6" s="79" t="n">
        <f aca="false">IFERROR(H6*PTAX_2022,"n.d.")</f>
        <v>317.764083414913</v>
      </c>
      <c r="AF6" s="79" t="n">
        <f aca="false">IFERROR(I6*PTAX_2025,"n.d.")</f>
        <v>380.367945982794</v>
      </c>
    </row>
    <row r="7" customFormat="false" ht="15" hidden="false" customHeight="false" outlineLevel="0" collapsed="false">
      <c r="A7" s="30" t="s">
        <v>909</v>
      </c>
      <c r="B7" s="30" t="s">
        <v>910</v>
      </c>
      <c r="C7" s="30" t="s">
        <v>911</v>
      </c>
      <c r="D7" s="30" t="s">
        <v>105</v>
      </c>
      <c r="E7" s="30" t="s">
        <v>406</v>
      </c>
      <c r="F7" s="32" t="n">
        <f aca="false">F4+F5</f>
        <v>318.847486867</v>
      </c>
      <c r="G7" s="32" t="n">
        <f aca="false">G4+G5</f>
        <v>407.054775227</v>
      </c>
      <c r="H7" s="32" t="n">
        <f aca="false">H4+H5</f>
        <v>606.746725166</v>
      </c>
      <c r="I7" s="32" t="n">
        <f aca="false">I4+I5</f>
        <v>628.486896325</v>
      </c>
      <c r="J7" s="32" t="s">
        <v>133</v>
      </c>
      <c r="K7" s="32" t="s">
        <v>133</v>
      </c>
      <c r="L7" s="32" t="s">
        <v>133</v>
      </c>
      <c r="M7" s="33" t="n">
        <f aca="false">IFERROR(G7/F7-1,"n.d.")</f>
        <v>0.276644138634198</v>
      </c>
      <c r="N7" s="33" t="n">
        <f aca="false">IFERROR(H7/G7-1,"n.d.")</f>
        <v>0.490577588305257</v>
      </c>
      <c r="O7" s="33" t="n">
        <f aca="false">IFERROR(I7/H7-1,"n.d.")</f>
        <v>0.0358307185803961</v>
      </c>
      <c r="P7" s="33" t="n">
        <f aca="false">IFERROR(I7/F7-1,"n.d.")</f>
        <v>0.971120746475129</v>
      </c>
      <c r="Q7" s="32" t="n">
        <f aca="false">IFERROR(I7-F7,"n.d.")</f>
        <v>309.639409458</v>
      </c>
      <c r="R7" s="32" t="n">
        <f aca="false">IFERROR(I7-G7,"n.d.")</f>
        <v>221.432121098</v>
      </c>
      <c r="S7" s="33" t="n">
        <f aca="false">IFERROR(F7/(PIB_2016/PTAX_2016),"n.d.")</f>
        <v>0.177501497056909</v>
      </c>
      <c r="T7" s="33" t="n">
        <f aca="false">IFERROR(G7/(PIB_2019/PTAX_2019),"n.d.")</f>
        <v>0.217327992899542</v>
      </c>
      <c r="U7" s="33" t="n">
        <f aca="false">IFERROR(H7/(PIB_2022/PTAX_2022),"n.d.")</f>
        <v>0.310893451460793</v>
      </c>
      <c r="V7" s="33" t="n">
        <f aca="false">IFERROR(I7/(PIB_2025/PTAX_2025),"n.d.")</f>
        <v>0.275691682296395</v>
      </c>
      <c r="W7" s="30" t="s">
        <v>423</v>
      </c>
      <c r="X7" s="30" t="s">
        <v>423</v>
      </c>
      <c r="Y7" s="30" t="s">
        <v>423</v>
      </c>
      <c r="Z7" s="30" t="s">
        <v>423</v>
      </c>
      <c r="AA7" s="30" t="s">
        <v>50</v>
      </c>
      <c r="AB7" s="30" t="s">
        <v>436</v>
      </c>
      <c r="AC7" s="79" t="n">
        <f aca="false">IFERROR(F7*PTAX_2016,"n.d.")</f>
        <v>1112.8149280393</v>
      </c>
      <c r="AD7" s="79" t="n">
        <f aca="false">IFERROR(G7*PTAX_2019,"n.d.")</f>
        <v>1605.86500950178</v>
      </c>
      <c r="AE7" s="79" t="n">
        <f aca="false">IFERROR(H7*PTAX_2022,"n.d.")</f>
        <v>3133.70526124652</v>
      </c>
      <c r="AF7" s="79" t="n">
        <f aca="false">IFERROR(I7*PTAX_2025,"n.d.")</f>
        <v>3511.91669058366</v>
      </c>
    </row>
    <row r="8" customFormat="false" ht="22.35" hidden="false" customHeight="false" outlineLevel="0" collapsed="false">
      <c r="A8" s="30" t="s">
        <v>403</v>
      </c>
      <c r="B8" s="30" t="s">
        <v>912</v>
      </c>
      <c r="C8" s="30" t="s">
        <v>405</v>
      </c>
      <c r="D8" s="30" t="s">
        <v>105</v>
      </c>
      <c r="E8" s="30" t="s">
        <v>406</v>
      </c>
      <c r="F8" s="55" t="n">
        <v>74.2946</v>
      </c>
      <c r="G8" s="55" t="n">
        <v>69.1744</v>
      </c>
      <c r="H8" s="55" t="n">
        <v>75.5011</v>
      </c>
      <c r="I8" s="55" t="n">
        <v>77.6761</v>
      </c>
      <c r="J8" s="32" t="s">
        <v>133</v>
      </c>
      <c r="K8" s="32" t="s">
        <v>133</v>
      </c>
      <c r="L8" s="32" t="s">
        <v>133</v>
      </c>
      <c r="M8" s="33" t="n">
        <f aca="false">IFERROR(G8/F8-1,"n.d.")</f>
        <v>-0.0689175256344337</v>
      </c>
      <c r="N8" s="33" t="n">
        <f aca="false">IFERROR(H8/G8-1,"n.d.")</f>
        <v>0.0914601355414719</v>
      </c>
      <c r="O8" s="33" t="n">
        <f aca="false">IFERROR(I8/H8-1,"n.d.")</f>
        <v>0.0288075273075492</v>
      </c>
      <c r="P8" s="33" t="n">
        <f aca="false">IFERROR(I8/F8-1,"n.d.")</f>
        <v>0.0455147480435993</v>
      </c>
      <c r="Q8" s="32" t="n">
        <f aca="false">IFERROR(I8-F8,"n.d.")</f>
        <v>3.3815</v>
      </c>
      <c r="R8" s="32" t="n">
        <f aca="false">IFERROR(I8-G8,"n.d.")</f>
        <v>8.5017</v>
      </c>
      <c r="S8" s="33" t="n">
        <f aca="false">IFERROR(F8/(PIB_2016/PTAX_2016),"n.d.")</f>
        <v>0.041359594371666</v>
      </c>
      <c r="T8" s="33" t="n">
        <f aca="false">IFERROR(G8/(PIB_2019/PTAX_2019),"n.d.")</f>
        <v>0.0369324583003513</v>
      </c>
      <c r="U8" s="33" t="n">
        <f aca="false">IFERROR(H8/(PIB_2022/PTAX_2022),"n.d.")</f>
        <v>0.0386863193396957</v>
      </c>
      <c r="V8" s="33" t="n">
        <f aca="false">IFERROR(I8/(PIB_2025/PTAX_2025),"n.d.")</f>
        <v>0.0340733511047607</v>
      </c>
      <c r="W8" s="30" t="s">
        <v>178</v>
      </c>
      <c r="X8" s="30" t="s">
        <v>408</v>
      </c>
      <c r="Y8" s="30" t="s">
        <v>178</v>
      </c>
      <c r="Z8" s="30" t="s">
        <v>180</v>
      </c>
      <c r="AA8" s="30" t="s">
        <v>50</v>
      </c>
      <c r="AB8" s="30" t="s">
        <v>913</v>
      </c>
      <c r="AC8" s="79" t="n">
        <f aca="false">IFERROR(F8*PTAX_2016,"n.d.")</f>
        <v>259.296821703333</v>
      </c>
      <c r="AD8" s="79" t="n">
        <f aca="false">IFERROR(G8*PTAX_2019,"n.d.")</f>
        <v>272.898772533333</v>
      </c>
      <c r="AE8" s="79" t="n">
        <f aca="false">IFERROR(H8*PTAX_2022,"n.d.")</f>
        <v>389.945564576667</v>
      </c>
      <c r="AF8" s="79" t="n">
        <f aca="false">IFERROR(I8*PTAX_2025,"n.d.")</f>
        <v>434.045631889167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customFormat="false" ht="15" hidden="false" customHeight="false" outlineLevel="0" collapsed="false">
      <c r="A10" s="4" t="s">
        <v>457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customFormat="false" ht="15" hidden="false" customHeight="false" outlineLevel="0" collapsed="false">
      <c r="A11" s="19" t="s">
        <v>914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customFormat="false" ht="15" hidden="false" customHeight="false" outlineLevel="0" collapsed="false">
      <c r="A12" s="19" t="s">
        <v>915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false" ht="15" hidden="false" customHeight="false" outlineLevel="0" collapsed="false">
      <c r="A13" s="19" t="s">
        <v>916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customFormat="false" ht="15" hidden="false" customHeight="false" outlineLevel="0" collapsed="false">
      <c r="A14" s="19" t="s">
        <v>917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customFormat="false" ht="15" hidden="false" customHeight="false" outlineLevel="0" collapsed="false">
      <c r="A15" s="19" t="s">
        <v>918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customFormat="false" ht="15" hidden="false" customHeight="false" outlineLevel="0" collapsed="false">
      <c r="A16" s="19" t="s">
        <v>919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customFormat="false" ht="15" hidden="false" customHeight="false" outlineLevel="0" collapsed="false">
      <c r="A17" s="19" t="s">
        <v>920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</sheetData>
  <autoFilter ref="A3:A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921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922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22.35" hidden="false" customHeight="false" outlineLevel="0" collapsed="false">
      <c r="A4" s="30" t="s">
        <v>390</v>
      </c>
      <c r="B4" s="30" t="s">
        <v>923</v>
      </c>
      <c r="C4" s="30" t="s">
        <v>400</v>
      </c>
      <c r="D4" s="30" t="s">
        <v>401</v>
      </c>
      <c r="E4" s="30" t="s">
        <v>106</v>
      </c>
      <c r="F4" s="55" t="n">
        <v>973.27</v>
      </c>
      <c r="G4" s="55" t="n">
        <v>1143.186</v>
      </c>
      <c r="H4" s="55" t="n">
        <v>1794.223</v>
      </c>
      <c r="I4" s="55" t="n">
        <v>2145.05</v>
      </c>
      <c r="J4" s="32" t="n">
        <f aca="false">IFERROR(F4*FATOR_2016,"n.d.")</f>
        <v>1508.76312546852</v>
      </c>
      <c r="K4" s="32" t="n">
        <f aca="false">IFERROR(G4*FATOR_2019,"n.d.")</f>
        <v>1590.77815552653</v>
      </c>
      <c r="L4" s="32" t="n">
        <f aca="false">IFERROR(H4*FATOR_2022,"n.d.")</f>
        <v>2051.74058341327</v>
      </c>
      <c r="M4" s="33" t="n">
        <f aca="false">IFERROR(K4/J4-1,"n.d.")</f>
        <v>0.054359116201584</v>
      </c>
      <c r="N4" s="33" t="n">
        <f aca="false">IFERROR(L4/K4-1,"n.d.")</f>
        <v>0.289771660671421</v>
      </c>
      <c r="O4" s="33" t="n">
        <f aca="false">IFERROR(I4/L4-1,"n.d.")</f>
        <v>0.0454781746489137</v>
      </c>
      <c r="P4" s="33" t="n">
        <f aca="false">IFERROR(I4/J4-1,"n.d.")</f>
        <v>0.421727482459445</v>
      </c>
      <c r="Q4" s="32" t="n">
        <f aca="false">IFERROR(I4-F4,"n.d.")</f>
        <v>1171.78</v>
      </c>
      <c r="R4" s="32" t="n">
        <f aca="false">IFERROR(I4-G4,"n.d.")</f>
        <v>1001.864</v>
      </c>
      <c r="S4" s="33" t="n">
        <f aca="false">IFERROR(F4/PIB_2016,"n.d.")</f>
        <v>0.155243138537837</v>
      </c>
      <c r="T4" s="33" t="n">
        <f aca="false">IFERROR(G4/PIB_2019,"n.d.")</f>
        <v>0.154711832825809</v>
      </c>
      <c r="U4" s="33" t="n">
        <f aca="false">IFERROR(H4/PIB_2022,"n.d.")</f>
        <v>0.178004035050333</v>
      </c>
      <c r="V4" s="33" t="n">
        <f aca="false">IFERROR(I4/PIB_2025,"n.d.")</f>
        <v>0.168390225398997</v>
      </c>
      <c r="W4" s="30" t="s">
        <v>107</v>
      </c>
      <c r="X4" s="30" t="s">
        <v>107</v>
      </c>
      <c r="Y4" s="30" t="s">
        <v>107</v>
      </c>
      <c r="Z4" s="30" t="s">
        <v>107</v>
      </c>
      <c r="AA4" s="30" t="s">
        <v>50</v>
      </c>
      <c r="AB4" s="30" t="s">
        <v>924</v>
      </c>
    </row>
    <row r="5" customFormat="false" ht="22.35" hidden="false" customHeight="false" outlineLevel="0" collapsed="false">
      <c r="A5" s="42" t="s">
        <v>925</v>
      </c>
      <c r="B5" s="42" t="s">
        <v>926</v>
      </c>
      <c r="C5" s="42" t="s">
        <v>392</v>
      </c>
      <c r="D5" s="42" t="s">
        <v>393</v>
      </c>
      <c r="E5" s="42" t="s">
        <v>106</v>
      </c>
      <c r="F5" s="59" t="s">
        <v>730</v>
      </c>
      <c r="G5" s="59" t="s">
        <v>730</v>
      </c>
      <c r="H5" s="59" t="s">
        <v>730</v>
      </c>
      <c r="I5" s="56" t="n">
        <v>2200</v>
      </c>
      <c r="J5" s="44" t="str">
        <f aca="false">IFERROR(F5*FATOR_2016,"n.d.")</f>
        <v>n.d.</v>
      </c>
      <c r="K5" s="44" t="str">
        <f aca="false">IFERROR(G5*FATOR_2019,"n.d.")</f>
        <v>n.d.</v>
      </c>
      <c r="L5" s="44" t="str">
        <f aca="false">IFERROR(H5*FATOR_2022,"n.d.")</f>
        <v>n.d.</v>
      </c>
      <c r="M5" s="45" t="str">
        <f aca="false">IFERROR(K5/J5-1,"n.d.")</f>
        <v>n.d.</v>
      </c>
      <c r="N5" s="45" t="str">
        <f aca="false">IFERROR(L5/K5-1,"n.d.")</f>
        <v>n.d.</v>
      </c>
      <c r="O5" s="45" t="str">
        <f aca="false">IFERROR(I5/L5-1,"n.d.")</f>
        <v>n.d.</v>
      </c>
      <c r="P5" s="45" t="str">
        <f aca="false">IFERROR(I5/J5-1,"n.d.")</f>
        <v>n.d.</v>
      </c>
      <c r="Q5" s="44" t="str">
        <f aca="false">IFERROR(I5-F5,"n.d.")</f>
        <v>n.d.</v>
      </c>
      <c r="R5" s="44" t="str">
        <f aca="false">IFERROR(I5-G5,"n.d.")</f>
        <v>n.d.</v>
      </c>
      <c r="S5" s="45" t="str">
        <f aca="false">IFERROR(F5/PIB_2016,"n.d.")</f>
        <v>n.d.</v>
      </c>
      <c r="T5" s="45" t="str">
        <f aca="false">IFERROR(G5/PIB_2019,"n.d.")</f>
        <v>n.d.</v>
      </c>
      <c r="U5" s="45" t="str">
        <f aca="false">IFERROR(H5/PIB_2022,"n.d.")</f>
        <v>n.d.</v>
      </c>
      <c r="V5" s="45" t="n">
        <f aca="false">IFERROR(I5/PIB_2025,"n.d.")</f>
        <v>0.172703897754268</v>
      </c>
      <c r="W5" s="42" t="s">
        <v>394</v>
      </c>
      <c r="X5" s="42" t="s">
        <v>395</v>
      </c>
      <c r="Y5" s="42" t="s">
        <v>394</v>
      </c>
      <c r="Z5" s="42" t="s">
        <v>396</v>
      </c>
      <c r="AA5" s="42" t="s">
        <v>54</v>
      </c>
      <c r="AB5" s="42" t="s">
        <v>927</v>
      </c>
    </row>
    <row r="6" customFormat="false" ht="22.35" hidden="false" customHeight="false" outlineLevel="0" collapsed="false">
      <c r="A6" s="42" t="s">
        <v>928</v>
      </c>
      <c r="B6" s="42" t="s">
        <v>929</v>
      </c>
      <c r="C6" s="42" t="s">
        <v>930</v>
      </c>
      <c r="D6" s="42" t="s">
        <v>337</v>
      </c>
      <c r="E6" s="42" t="s">
        <v>106</v>
      </c>
      <c r="F6" s="59" t="s">
        <v>730</v>
      </c>
      <c r="G6" s="56" t="n">
        <v>8.816</v>
      </c>
      <c r="H6" s="59" t="s">
        <v>730</v>
      </c>
      <c r="I6" s="56" t="n">
        <v>71</v>
      </c>
      <c r="J6" s="44" t="str">
        <f aca="false">IFERROR(F6*FATOR_2016,"n.d.")</f>
        <v>n.d.</v>
      </c>
      <c r="K6" s="44" t="n">
        <f aca="false">IFERROR(G6*FATOR_2019,"n.d.")</f>
        <v>12.2677326516611</v>
      </c>
      <c r="L6" s="44" t="str">
        <f aca="false">IFERROR(H6*FATOR_2022,"n.d.")</f>
        <v>n.d.</v>
      </c>
      <c r="M6" s="45" t="str">
        <f aca="false">IFERROR(K6/J6-1,"n.d.")</f>
        <v>n.d.</v>
      </c>
      <c r="N6" s="45" t="str">
        <f aca="false">IFERROR(L6/K6-1,"n.d.")</f>
        <v>n.d.</v>
      </c>
      <c r="O6" s="45" t="str">
        <f aca="false">IFERROR(I6/L6-1,"n.d.")</f>
        <v>n.d.</v>
      </c>
      <c r="P6" s="45" t="str">
        <f aca="false">IFERROR(I6/J6-1,"n.d.")</f>
        <v>n.d.</v>
      </c>
      <c r="Q6" s="44" t="str">
        <f aca="false">IFERROR(I6-F6,"n.d.")</f>
        <v>n.d.</v>
      </c>
      <c r="R6" s="44" t="n">
        <f aca="false">IFERROR(I6-G6,"n.d.")</f>
        <v>62.184</v>
      </c>
      <c r="S6" s="45" t="str">
        <f aca="false">IFERROR(F6/PIB_2016,"n.d.")</f>
        <v>n.d.</v>
      </c>
      <c r="T6" s="45" t="n">
        <f aca="false">IFERROR(G6/PIB_2019,"n.d.")</f>
        <v>0.00119310376281054</v>
      </c>
      <c r="U6" s="45" t="str">
        <f aca="false">IFERROR(H6/PIB_2022,"n.d.")</f>
        <v>n.d.</v>
      </c>
      <c r="V6" s="45" t="n">
        <f aca="false">IFERROR(I6/PIB_2025,"n.d.")</f>
        <v>0.00557362579116048</v>
      </c>
      <c r="W6" s="42" t="s">
        <v>436</v>
      </c>
      <c r="X6" s="42" t="s">
        <v>931</v>
      </c>
      <c r="Y6" s="42" t="s">
        <v>436</v>
      </c>
      <c r="Z6" s="42" t="s">
        <v>332</v>
      </c>
      <c r="AA6" s="42" t="s">
        <v>54</v>
      </c>
      <c r="AB6" s="42" t="s">
        <v>932</v>
      </c>
    </row>
    <row r="7" customFormat="false" ht="22.35" hidden="false" customHeight="false" outlineLevel="0" collapsed="false">
      <c r="A7" s="60" t="s">
        <v>933</v>
      </c>
      <c r="B7" s="60" t="s">
        <v>934</v>
      </c>
      <c r="C7" s="60" t="s">
        <v>935</v>
      </c>
      <c r="D7" s="60" t="s">
        <v>393</v>
      </c>
      <c r="E7" s="60" t="s">
        <v>106</v>
      </c>
      <c r="F7" s="59" t="s">
        <v>730</v>
      </c>
      <c r="G7" s="59" t="s">
        <v>730</v>
      </c>
      <c r="H7" s="61" t="n">
        <v>131</v>
      </c>
      <c r="I7" s="61" t="n">
        <v>235</v>
      </c>
      <c r="J7" s="62" t="str">
        <f aca="false">IFERROR(F7*FATOR_2016,"n.d.")</f>
        <v>n.d.</v>
      </c>
      <c r="K7" s="62" t="str">
        <f aca="false">IFERROR(G7*FATOR_2019,"n.d.")</f>
        <v>n.d.</v>
      </c>
      <c r="L7" s="62" t="n">
        <f aca="false">IFERROR(H7*FATOR_2022,"n.d.")</f>
        <v>149.801901116605</v>
      </c>
      <c r="M7" s="63" t="str">
        <f aca="false">IFERROR(K7/J7-1,"n.d.")</f>
        <v>n.d.</v>
      </c>
      <c r="N7" s="63" t="str">
        <f aca="false">IFERROR(L7/K7-1,"n.d.")</f>
        <v>n.d.</v>
      </c>
      <c r="O7" s="63" t="n">
        <f aca="false">IFERROR(I7/L7-1,"n.d.")</f>
        <v>0.568738435549477</v>
      </c>
      <c r="P7" s="63" t="str">
        <f aca="false">IFERROR(I7/J7-1,"n.d.")</f>
        <v>n.d.</v>
      </c>
      <c r="Q7" s="62" t="str">
        <f aca="false">IFERROR(I7-F7,"n.d.")</f>
        <v>n.d.</v>
      </c>
      <c r="R7" s="62" t="str">
        <f aca="false">IFERROR(I7-G7,"n.d.")</f>
        <v>n.d.</v>
      </c>
      <c r="S7" s="63" t="str">
        <f aca="false">IFERROR(F7/PIB_2016,"n.d.")</f>
        <v>n.d.</v>
      </c>
      <c r="T7" s="63" t="str">
        <f aca="false">IFERROR(G7/PIB_2019,"n.d.")</f>
        <v>n.d.</v>
      </c>
      <c r="U7" s="63" t="n">
        <f aca="false">IFERROR(H7/PIB_2022,"n.d.")</f>
        <v>0.012996449489051</v>
      </c>
      <c r="V7" s="63" t="n">
        <f aca="false">IFERROR(I7/PIB_2025,"n.d.")</f>
        <v>0.0184479163510241</v>
      </c>
      <c r="W7" s="60" t="s">
        <v>436</v>
      </c>
      <c r="X7" s="60" t="s">
        <v>936</v>
      </c>
      <c r="Y7" s="60" t="s">
        <v>937</v>
      </c>
      <c r="Z7" s="60" t="s">
        <v>938</v>
      </c>
      <c r="AA7" s="60" t="s">
        <v>56</v>
      </c>
      <c r="AB7" s="60" t="s">
        <v>939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" hidden="false" customHeight="false" outlineLevel="0" collapsed="false">
      <c r="A9" s="4" t="s">
        <v>457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15" hidden="false" customHeight="false" outlineLevel="0" collapsed="false">
      <c r="A10" s="19" t="s">
        <v>940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5" hidden="false" customHeight="false" outlineLevel="0" collapsed="false">
      <c r="A11" s="19" t="s">
        <v>915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" hidden="false" customHeight="false" outlineLevel="0" collapsed="false">
      <c r="A12" s="19" t="s">
        <v>916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" hidden="false" customHeight="false" outlineLevel="0" collapsed="false">
      <c r="A13" s="19" t="s">
        <v>917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5" hidden="false" customHeight="false" outlineLevel="0" collapsed="false">
      <c r="A14" s="19" t="s">
        <v>918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15" hidden="false" customHeight="false" outlineLevel="0" collapsed="false">
      <c r="A15" s="19" t="s">
        <v>919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" hidden="false" customHeight="false" outlineLevel="0" collapsed="false">
      <c r="A16" s="19" t="s">
        <v>920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</sheetData>
  <autoFilter ref="A3:A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12" min="6" style="0" width="12"/>
    <col collapsed="false" customWidth="true" hidden="false" outlineLevel="0" max="16" min="13" style="0" width="11"/>
    <col collapsed="false" customWidth="true" hidden="false" outlineLevel="0" max="18" min="17" style="0" width="13"/>
    <col collapsed="false" customWidth="true" hidden="false" outlineLevel="0" max="22" min="19" style="0" width="9"/>
    <col collapsed="false" customWidth="true" hidden="false" outlineLevel="0" max="26" min="23" style="0" width="20"/>
    <col collapsed="false" customWidth="true" hidden="false" outlineLevel="0" max="27" min="27" style="0" width="14"/>
    <col collapsed="false" customWidth="true" hidden="false" outlineLevel="0" max="28" min="28" style="0" width="60"/>
  </cols>
  <sheetData>
    <row r="1" customFormat="false" ht="21.75" hidden="false" customHeight="true" outlineLevel="0" collapsed="false">
      <c r="A1" s="1" t="s">
        <v>941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942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8" hidden="false" customHeight="true" outlineLevel="0" collapsed="false">
      <c r="A3" s="28" t="s">
        <v>77</v>
      </c>
      <c r="B3" s="28" t="s">
        <v>13</v>
      </c>
      <c r="C3" s="28" t="s">
        <v>469</v>
      </c>
      <c r="D3" s="28" t="s">
        <v>79</v>
      </c>
      <c r="E3" s="28" t="s">
        <v>80</v>
      </c>
      <c r="F3" s="28" t="s">
        <v>81</v>
      </c>
      <c r="G3" s="28" t="s">
        <v>82</v>
      </c>
      <c r="H3" s="28" t="s">
        <v>83</v>
      </c>
      <c r="I3" s="28" t="s">
        <v>84</v>
      </c>
      <c r="J3" s="28" t="s">
        <v>470</v>
      </c>
      <c r="K3" s="28" t="s">
        <v>471</v>
      </c>
      <c r="L3" s="28" t="s">
        <v>472</v>
      </c>
      <c r="M3" s="28" t="s">
        <v>473</v>
      </c>
      <c r="N3" s="28" t="s">
        <v>474</v>
      </c>
      <c r="O3" s="28" t="s">
        <v>475</v>
      </c>
      <c r="P3" s="28" t="s">
        <v>476</v>
      </c>
      <c r="Q3" s="28" t="s">
        <v>477</v>
      </c>
      <c r="R3" s="28" t="s">
        <v>478</v>
      </c>
      <c r="S3" s="28" t="s">
        <v>479</v>
      </c>
      <c r="T3" s="28" t="s">
        <v>480</v>
      </c>
      <c r="U3" s="28" t="s">
        <v>481</v>
      </c>
      <c r="V3" s="28" t="s">
        <v>482</v>
      </c>
      <c r="W3" s="28" t="s">
        <v>96</v>
      </c>
      <c r="X3" s="28" t="s">
        <v>97</v>
      </c>
      <c r="Y3" s="28" t="s">
        <v>98</v>
      </c>
      <c r="Z3" s="28" t="s">
        <v>99</v>
      </c>
      <c r="AA3" s="28" t="s">
        <v>483</v>
      </c>
      <c r="AB3" s="28" t="s">
        <v>101</v>
      </c>
    </row>
    <row r="4" customFormat="false" ht="53.7" hidden="false" customHeight="false" outlineLevel="0" collapsed="false">
      <c r="A4" s="35" t="s">
        <v>425</v>
      </c>
      <c r="B4" s="35" t="s">
        <v>943</v>
      </c>
      <c r="C4" s="35" t="s">
        <v>427</v>
      </c>
      <c r="D4" s="35" t="s">
        <v>153</v>
      </c>
      <c r="E4" s="35" t="s">
        <v>106</v>
      </c>
      <c r="F4" s="57" t="n">
        <v>15.874</v>
      </c>
      <c r="G4" s="57" t="n">
        <v>12.364</v>
      </c>
      <c r="H4" s="57" t="n">
        <v>13.376</v>
      </c>
      <c r="I4" s="57" t="n">
        <v>20.816</v>
      </c>
      <c r="J4" s="37" t="n">
        <f aca="false">IFERROR(F4*FATOR_2016,"n.d.")</f>
        <v>24.6078743346525</v>
      </c>
      <c r="K4" s="37" t="n">
        <f aca="false">IFERROR(G4*FATOR_2019,"n.d.")</f>
        <v>17.2048827705465</v>
      </c>
      <c r="L4" s="37" t="n">
        <f aca="false">IFERROR(H4*FATOR_2022,"n.d.")</f>
        <v>15.2958032773718</v>
      </c>
      <c r="M4" s="38" t="n">
        <f aca="false">IFERROR(K4/J4-1,"n.d.")</f>
        <v>-0.300838319613865</v>
      </c>
      <c r="N4" s="38" t="n">
        <f aca="false">IFERROR(L4/K4-1,"n.d.")</f>
        <v>-0.110961493817494</v>
      </c>
      <c r="O4" s="38" t="n">
        <f aca="false">IFERROR(I4/L4-1,"n.d.")</f>
        <v>0.36089616364213</v>
      </c>
      <c r="P4" s="38" t="n">
        <f aca="false">IFERROR(I4/J4-1,"n.d.")</f>
        <v>-0.154091909081023</v>
      </c>
      <c r="Q4" s="37" t="n">
        <f aca="false">IFERROR(I4-F4,"n.d.")</f>
        <v>4.942</v>
      </c>
      <c r="R4" s="37" t="n">
        <f aca="false">IFERROR(I4-G4,"n.d.")</f>
        <v>8.452</v>
      </c>
      <c r="S4" s="38" t="n">
        <f aca="false">IFERROR(F4/PIB_2016,"n.d.")</f>
        <v>0.0025320102141745</v>
      </c>
      <c r="T4" s="38" t="n">
        <f aca="false">IFERROR(G4/PIB_2019,"n.d.")</f>
        <v>0.00167326848042077</v>
      </c>
      <c r="U4" s="38" t="n">
        <f aca="false">IFERROR(H4/PIB_2022,"n.d.")</f>
        <v>0.00132702678141639</v>
      </c>
      <c r="V4" s="38" t="n">
        <f aca="false">IFERROR(I4/PIB_2025,"n.d.")</f>
        <v>0.00163409287984221</v>
      </c>
      <c r="W4" s="35" t="s">
        <v>428</v>
      </c>
      <c r="X4" s="35" t="s">
        <v>429</v>
      </c>
      <c r="Y4" s="35" t="s">
        <v>428</v>
      </c>
      <c r="Z4" s="35" t="s">
        <v>155</v>
      </c>
      <c r="AA4" s="35" t="s">
        <v>52</v>
      </c>
      <c r="AB4" s="35" t="s">
        <v>944</v>
      </c>
    </row>
    <row r="5" customFormat="false" ht="43.25" hidden="false" customHeight="false" outlineLevel="0" collapsed="false">
      <c r="A5" s="42" t="s">
        <v>431</v>
      </c>
      <c r="B5" s="42" t="s">
        <v>945</v>
      </c>
      <c r="C5" s="42" t="s">
        <v>433</v>
      </c>
      <c r="D5" s="42" t="s">
        <v>140</v>
      </c>
      <c r="E5" s="42" t="s">
        <v>106</v>
      </c>
      <c r="F5" s="61" t="n">
        <v>42</v>
      </c>
      <c r="G5" s="59" t="s">
        <v>730</v>
      </c>
      <c r="H5" s="59" t="s">
        <v>946</v>
      </c>
      <c r="I5" s="56" t="n">
        <v>49.8</v>
      </c>
      <c r="J5" s="44" t="n">
        <f aca="false">IFERROR(F5*FATOR_2016,"n.d.")</f>
        <v>65.1083987687669</v>
      </c>
      <c r="K5" s="44" t="str">
        <f aca="false">IFERROR(G5*FATOR_2019,"n.d.")</f>
        <v>n.d.</v>
      </c>
      <c r="L5" s="44" t="str">
        <f aca="false">IFERROR(H5*FATOR_2022,"n.d.")</f>
        <v>n.d.</v>
      </c>
      <c r="M5" s="45" t="str">
        <f aca="false">IFERROR(K5/J5-1,"n.d.")</f>
        <v>n.d.</v>
      </c>
      <c r="N5" s="45" t="str">
        <f aca="false">IFERROR(L5/K5-1,"n.d.")</f>
        <v>n.d.</v>
      </c>
      <c r="O5" s="45" t="str">
        <f aca="false">IFERROR(I5/L5-1,"n.d.")</f>
        <v>n.d.</v>
      </c>
      <c r="P5" s="45" t="n">
        <f aca="false">IFERROR(I5/J5-1,"n.d.")</f>
        <v>-0.235121720980035</v>
      </c>
      <c r="Q5" s="44" t="n">
        <f aca="false">IFERROR(I5-F5,"n.d.")</f>
        <v>7.8</v>
      </c>
      <c r="R5" s="44" t="str">
        <f aca="false">IFERROR(I5-G5,"n.d.")</f>
        <v>n.d.</v>
      </c>
      <c r="S5" s="45" t="n">
        <f aca="false">IFERROR(F5/PIB_2016,"n.d.")</f>
        <v>0.00669928367111813</v>
      </c>
      <c r="T5" s="45" t="str">
        <f aca="false">IFERROR(G5/PIB_2019,"n.d.")</f>
        <v>n.d.</v>
      </c>
      <c r="U5" s="45" t="str">
        <f aca="false">IFERROR(H5/PIB_2022,"n.d.")</f>
        <v>n.d.</v>
      </c>
      <c r="V5" s="45" t="n">
        <f aca="false">IFERROR(I5/PIB_2025,"n.d.")</f>
        <v>0.00390938823098298</v>
      </c>
      <c r="W5" s="42" t="s">
        <v>434</v>
      </c>
      <c r="X5" s="42" t="s">
        <v>435</v>
      </c>
      <c r="Y5" s="42" t="s">
        <v>436</v>
      </c>
      <c r="Z5" s="42" t="s">
        <v>437</v>
      </c>
      <c r="AA5" s="42" t="s">
        <v>54</v>
      </c>
      <c r="AB5" s="42" t="s">
        <v>947</v>
      </c>
    </row>
    <row r="6" customFormat="false" ht="22.35" hidden="false" customHeight="false" outlineLevel="0" collapsed="false">
      <c r="A6" s="30" t="s">
        <v>948</v>
      </c>
      <c r="B6" s="30" t="s">
        <v>949</v>
      </c>
      <c r="C6" s="30" t="s">
        <v>950</v>
      </c>
      <c r="D6" s="30" t="s">
        <v>153</v>
      </c>
      <c r="E6" s="30" t="s">
        <v>106</v>
      </c>
      <c r="F6" s="55" t="n">
        <v>10.787</v>
      </c>
      <c r="G6" s="55" t="n">
        <v>7.834</v>
      </c>
      <c r="H6" s="55" t="n">
        <v>7.147</v>
      </c>
      <c r="I6" s="55" t="n">
        <v>13.607</v>
      </c>
      <c r="J6" s="32" t="n">
        <f aca="false">IFERROR(F6*FATOR_2016,"n.d.")</f>
        <v>16.7220070837783</v>
      </c>
      <c r="K6" s="32" t="n">
        <f aca="false">IFERROR(G6*FATOR_2019,"n.d.")</f>
        <v>10.9012497269865</v>
      </c>
      <c r="L6" s="32" t="n">
        <f aca="false">IFERROR(H6*FATOR_2022,"n.d.")</f>
        <v>8.17278005557538</v>
      </c>
      <c r="M6" s="33" t="n">
        <f aca="false">IFERROR(K6/J6-1,"n.d.")</f>
        <v>-0.348089635869033</v>
      </c>
      <c r="N6" s="33" t="n">
        <f aca="false">IFERROR(L6/K6-1,"n.d.")</f>
        <v>-0.250289621808836</v>
      </c>
      <c r="O6" s="33" t="n">
        <f aca="false">IFERROR(I6/L6-1,"n.d.")</f>
        <v>0.664916944720353</v>
      </c>
      <c r="P6" s="33" t="n">
        <f aca="false">IFERROR(I6/J6-1,"n.d.")</f>
        <v>-0.186281889977197</v>
      </c>
      <c r="Q6" s="32" t="n">
        <f aca="false">IFERROR(I6-F6,"n.d.")</f>
        <v>2.82</v>
      </c>
      <c r="R6" s="32" t="n">
        <f aca="false">IFERROR(I6-G6,"n.d.")</f>
        <v>5.773</v>
      </c>
      <c r="S6" s="33" t="n">
        <f aca="false">IFERROR(F6/PIB_2016,"n.d.")</f>
        <v>0.00172059935619884</v>
      </c>
      <c r="T6" s="33" t="n">
        <f aca="false">IFERROR(G6/PIB_2019,"n.d.")</f>
        <v>0.00106020586182597</v>
      </c>
      <c r="U6" s="33" t="n">
        <f aca="false">IFERROR(H6/PIB_2022,"n.d.")</f>
        <v>0.000709050568688914</v>
      </c>
      <c r="V6" s="33" t="n">
        <f aca="false">IFERROR(I6/PIB_2025,"n.d.")</f>
        <v>0.00106817360761015</v>
      </c>
      <c r="W6" s="30" t="s">
        <v>155</v>
      </c>
      <c r="X6" s="30" t="s">
        <v>155</v>
      </c>
      <c r="Y6" s="30" t="s">
        <v>155</v>
      </c>
      <c r="Z6" s="30" t="s">
        <v>155</v>
      </c>
      <c r="AA6" s="30" t="s">
        <v>50</v>
      </c>
      <c r="AB6" s="30" t="s">
        <v>436</v>
      </c>
    </row>
    <row r="7" customFormat="false" ht="22.35" hidden="false" customHeight="false" outlineLevel="0" collapsed="false">
      <c r="A7" s="30" t="s">
        <v>439</v>
      </c>
      <c r="B7" s="30" t="s">
        <v>951</v>
      </c>
      <c r="C7" s="30" t="s">
        <v>690</v>
      </c>
      <c r="D7" s="30" t="s">
        <v>140</v>
      </c>
      <c r="E7" s="30" t="s">
        <v>106</v>
      </c>
      <c r="F7" s="55" t="n">
        <v>6.841</v>
      </c>
      <c r="G7" s="55" t="n">
        <v>7.04</v>
      </c>
      <c r="H7" s="55" t="n">
        <v>5.711</v>
      </c>
      <c r="I7" s="55" t="n">
        <v>11.66</v>
      </c>
      <c r="J7" s="32" t="n">
        <f aca="false">IFERROR(F7*FATOR_2016,"n.d.")</f>
        <v>10.6049179994556</v>
      </c>
      <c r="K7" s="32" t="n">
        <f aca="false">IFERROR(G7*FATOR_2019,"n.d.")</f>
        <v>9.79637453127203</v>
      </c>
      <c r="L7" s="32" t="n">
        <f aca="false">IFERROR(H7*FATOR_2022,"n.d.")</f>
        <v>6.53067677310634</v>
      </c>
      <c r="M7" s="33" t="n">
        <f aca="false">IFERROR(K7/J7-1,"n.d.")</f>
        <v>-0.0762423121258513</v>
      </c>
      <c r="N7" s="33" t="n">
        <f aca="false">IFERROR(L7/K7-1,"n.d.")</f>
        <v>-0.333357789429234</v>
      </c>
      <c r="O7" s="33" t="n">
        <f aca="false">IFERROR(I7/L7-1,"n.d.")</f>
        <v>0.785419858477223</v>
      </c>
      <c r="P7" s="33" t="n">
        <f aca="false">IFERROR(I7/J7-1,"n.d.")</f>
        <v>0.0994898782431497</v>
      </c>
      <c r="Q7" s="32" t="n">
        <f aca="false">IFERROR(I7-F7,"n.d.")</f>
        <v>4.819</v>
      </c>
      <c r="R7" s="32" t="n">
        <f aca="false">IFERROR(I7-G7,"n.d.")</f>
        <v>4.62</v>
      </c>
      <c r="S7" s="33" t="n">
        <f aca="false">IFERROR(F7/PIB_2016,"n.d.")</f>
        <v>0.00109118570462188</v>
      </c>
      <c r="T7" s="33" t="n">
        <f aca="false">IFERROR(G7/PIB_2019,"n.d.")</f>
        <v>0.000952750736182644</v>
      </c>
      <c r="U7" s="33" t="n">
        <f aca="false">IFERROR(H7/PIB_2022,"n.d.")</f>
        <v>0.000566585671999775</v>
      </c>
      <c r="V7" s="33" t="n">
        <f aca="false">IFERROR(I7/PIB_2025,"n.d.")</f>
        <v>0.000915330658097623</v>
      </c>
      <c r="W7" s="30" t="s">
        <v>235</v>
      </c>
      <c r="X7" s="30" t="s">
        <v>235</v>
      </c>
      <c r="Y7" s="30" t="s">
        <v>235</v>
      </c>
      <c r="Z7" s="30" t="s">
        <v>235</v>
      </c>
      <c r="AA7" s="30" t="s">
        <v>50</v>
      </c>
      <c r="AB7" s="30" t="s">
        <v>952</v>
      </c>
    </row>
    <row r="8" customFormat="false" ht="22.35" hidden="false" customHeight="false" outlineLevel="0" collapsed="false">
      <c r="A8" s="30" t="s">
        <v>439</v>
      </c>
      <c r="B8" s="30" t="s">
        <v>951</v>
      </c>
      <c r="C8" s="30" t="s">
        <v>692</v>
      </c>
      <c r="D8" s="30" t="s">
        <v>140</v>
      </c>
      <c r="E8" s="30" t="s">
        <v>106</v>
      </c>
      <c r="F8" s="55" t="n">
        <v>6.974</v>
      </c>
      <c r="G8" s="55" t="n">
        <v>6.32</v>
      </c>
      <c r="H8" s="55" t="n">
        <v>8.89</v>
      </c>
      <c r="I8" s="55" t="n">
        <v>12.69</v>
      </c>
      <c r="J8" s="32" t="n">
        <f aca="false">IFERROR(F8*FATOR_2016,"n.d.")</f>
        <v>10.8110945955567</v>
      </c>
      <c r="K8" s="32" t="n">
        <f aca="false">IFERROR(G8*FATOR_2019,"n.d.")</f>
        <v>8.79447259057375</v>
      </c>
      <c r="L8" s="32" t="n">
        <f aca="false">IFERROR(H8*FATOR_2022,"n.d.")</f>
        <v>10.1659458086001</v>
      </c>
      <c r="M8" s="33" t="n">
        <f aca="false">IFERROR(K8/J8-1,"n.d.")</f>
        <v>-0.186532638962547</v>
      </c>
      <c r="N8" s="33" t="n">
        <f aca="false">IFERROR(L8/K8-1,"n.d.")</f>
        <v>0.155947182039816</v>
      </c>
      <c r="O8" s="33" t="n">
        <f aca="false">IFERROR(I8/L8-1,"n.d.")</f>
        <v>0.248285229817435</v>
      </c>
      <c r="P8" s="33" t="n">
        <f aca="false">IFERROR(I8/J8-1,"n.d.")</f>
        <v>0.173794187798112</v>
      </c>
      <c r="Q8" s="32" t="n">
        <f aca="false">IFERROR(I8-F8,"n.d.")</f>
        <v>5.716</v>
      </c>
      <c r="R8" s="32" t="n">
        <f aca="false">IFERROR(I8-G8,"n.d.")</f>
        <v>6.37</v>
      </c>
      <c r="S8" s="33" t="n">
        <f aca="false">IFERROR(F8/PIB_2016,"n.d.")</f>
        <v>0.00111240010291376</v>
      </c>
      <c r="T8" s="33" t="n">
        <f aca="false">IFERROR(G8/PIB_2019,"n.d.")</f>
        <v>0.000855310319982147</v>
      </c>
      <c r="U8" s="33" t="n">
        <f aca="false">IFERROR(H8/PIB_2022,"n.d.")</f>
        <v>0.000881972793569952</v>
      </c>
      <c r="V8" s="33" t="n">
        <f aca="false">IFERROR(I8/PIB_2025,"n.d.")</f>
        <v>0.000996187482955303</v>
      </c>
      <c r="W8" s="30" t="s">
        <v>235</v>
      </c>
      <c r="X8" s="30" t="s">
        <v>235</v>
      </c>
      <c r="Y8" s="30" t="s">
        <v>235</v>
      </c>
      <c r="Z8" s="30" t="s">
        <v>235</v>
      </c>
      <c r="AA8" s="30" t="s">
        <v>50</v>
      </c>
      <c r="AB8" s="30" t="s">
        <v>436</v>
      </c>
    </row>
    <row r="9" customFormat="false" ht="22.35" hidden="false" customHeight="false" outlineLevel="0" collapsed="false">
      <c r="A9" s="30" t="s">
        <v>439</v>
      </c>
      <c r="B9" s="30" t="s">
        <v>951</v>
      </c>
      <c r="C9" s="30" t="s">
        <v>693</v>
      </c>
      <c r="D9" s="30" t="s">
        <v>140</v>
      </c>
      <c r="E9" s="30" t="s">
        <v>106</v>
      </c>
      <c r="F9" s="55" t="n">
        <v>6.088</v>
      </c>
      <c r="G9" s="55" t="n">
        <v>6.31</v>
      </c>
      <c r="H9" s="55" t="n">
        <v>8.865</v>
      </c>
      <c r="I9" s="55" t="n">
        <v>12.65</v>
      </c>
      <c r="J9" s="32" t="n">
        <f aca="false">IFERROR(F9*FATOR_2016,"n.d.")</f>
        <v>9.43761742152983</v>
      </c>
      <c r="K9" s="32" t="n">
        <f aca="false">IFERROR(G9*FATOR_2019,"n.d.")</f>
        <v>8.78055728584183</v>
      </c>
      <c r="L9" s="32" t="n">
        <f aca="false">IFERROR(H9*FATOR_2022,"n.d.")</f>
        <v>10.1373576595321</v>
      </c>
      <c r="M9" s="33" t="n">
        <f aca="false">IFERROR(K9/J9-1,"n.d.")</f>
        <v>-0.0696213998025669</v>
      </c>
      <c r="N9" s="33" t="n">
        <f aca="false">IFERROR(L9/K9-1,"n.d.")</f>
        <v>0.15452326424406</v>
      </c>
      <c r="O9" s="33" t="n">
        <f aca="false">IFERROR(I9/L9-1,"n.d.")</f>
        <v>0.247859691337349</v>
      </c>
      <c r="P9" s="33" t="n">
        <f aca="false">IFERROR(I9/J9-1,"n.d.")</f>
        <v>0.340380673955042</v>
      </c>
      <c r="Q9" s="32" t="n">
        <f aca="false">IFERROR(I9-F9,"n.d.")</f>
        <v>6.562</v>
      </c>
      <c r="R9" s="32" t="n">
        <f aca="false">IFERROR(I9-G9,"n.d.")</f>
        <v>6.34</v>
      </c>
      <c r="S9" s="33" t="n">
        <f aca="false">IFERROR(F9/PIB_2016,"n.d.")</f>
        <v>0.00097107711880398</v>
      </c>
      <c r="T9" s="33" t="n">
        <f aca="false">IFERROR(G9/PIB_2019,"n.d.")</f>
        <v>0.000853956980868251</v>
      </c>
      <c r="U9" s="33" t="n">
        <f aca="false">IFERROR(H9/PIB_2022,"n.d.")</f>
        <v>0.000879492555117843</v>
      </c>
      <c r="V9" s="33" t="n">
        <f aca="false">IFERROR(I9/PIB_2025,"n.d.")</f>
        <v>0.000993047412087044</v>
      </c>
      <c r="W9" s="30" t="s">
        <v>235</v>
      </c>
      <c r="X9" s="30" t="s">
        <v>235</v>
      </c>
      <c r="Y9" s="30" t="s">
        <v>235</v>
      </c>
      <c r="Z9" s="30" t="s">
        <v>235</v>
      </c>
      <c r="AA9" s="30" t="s">
        <v>50</v>
      </c>
      <c r="AB9" s="30" t="s">
        <v>436</v>
      </c>
    </row>
    <row r="10" customFormat="false" ht="22.35" hidden="false" customHeight="false" outlineLevel="0" collapsed="false">
      <c r="A10" s="30" t="s">
        <v>439</v>
      </c>
      <c r="B10" s="30" t="s">
        <v>951</v>
      </c>
      <c r="C10" s="30" t="s">
        <v>694</v>
      </c>
      <c r="D10" s="30" t="s">
        <v>140</v>
      </c>
      <c r="E10" s="30" t="s">
        <v>106</v>
      </c>
      <c r="F10" s="55" t="n">
        <v>3.201</v>
      </c>
      <c r="G10" s="55" t="n">
        <v>4.25</v>
      </c>
      <c r="H10" s="55" t="n">
        <v>4.389</v>
      </c>
      <c r="I10" s="55" t="n">
        <v>9.69</v>
      </c>
      <c r="J10" s="32" t="n">
        <f aca="false">IFERROR(F10*FATOR_2016,"n.d.")</f>
        <v>4.96219010616245</v>
      </c>
      <c r="K10" s="32" t="n">
        <f aca="false">IFERROR(G10*FATOR_2019,"n.d.")</f>
        <v>5.91400451106621</v>
      </c>
      <c r="L10" s="32" t="n">
        <f aca="false">IFERROR(H10*FATOR_2022,"n.d.")</f>
        <v>5.01893545038762</v>
      </c>
      <c r="M10" s="33" t="n">
        <f aca="false">IFERROR(K10/J10-1,"n.d.")</f>
        <v>0.19181336960906</v>
      </c>
      <c r="N10" s="33" t="n">
        <f aca="false">IFERROR(L10/K10-1,"n.d.")</f>
        <v>-0.151347375370402</v>
      </c>
      <c r="O10" s="33" t="n">
        <f aca="false">IFERROR(I10/L10-1,"n.d.")</f>
        <v>0.93068830946045</v>
      </c>
      <c r="P10" s="33" t="n">
        <f aca="false">IFERROR(I10/J10-1,"n.d.")</f>
        <v>0.952766780935332</v>
      </c>
      <c r="Q10" s="32" t="n">
        <f aca="false">IFERROR(I10-F10,"n.d.")</f>
        <v>6.489</v>
      </c>
      <c r="R10" s="32" t="n">
        <f aca="false">IFERROR(I10-G10,"n.d.")</f>
        <v>5.44</v>
      </c>
      <c r="S10" s="33" t="n">
        <f aca="false">IFERROR(F10/PIB_2016,"n.d.")</f>
        <v>0.000510581119791646</v>
      </c>
      <c r="T10" s="33" t="n">
        <f aca="false">IFERROR(G10/PIB_2019,"n.d.")</f>
        <v>0.000575169123405716</v>
      </c>
      <c r="U10" s="33" t="n">
        <f aca="false">IFERROR(H10/PIB_2022,"n.d.")</f>
        <v>0.000435430662652252</v>
      </c>
      <c r="V10" s="33" t="n">
        <f aca="false">IFERROR(I10/PIB_2025,"n.d.")</f>
        <v>0.000760682167835846</v>
      </c>
      <c r="W10" s="30" t="s">
        <v>235</v>
      </c>
      <c r="X10" s="30" t="s">
        <v>235</v>
      </c>
      <c r="Y10" s="30" t="s">
        <v>235</v>
      </c>
      <c r="Z10" s="30" t="s">
        <v>235</v>
      </c>
      <c r="AA10" s="30" t="s">
        <v>50</v>
      </c>
      <c r="AB10" s="30" t="s">
        <v>436</v>
      </c>
    </row>
    <row r="11" customFormat="false" ht="22.35" hidden="false" customHeight="false" outlineLevel="0" collapsed="false">
      <c r="A11" s="30" t="s">
        <v>442</v>
      </c>
      <c r="B11" s="30" t="s">
        <v>953</v>
      </c>
      <c r="C11" s="30" t="s">
        <v>690</v>
      </c>
      <c r="D11" s="30" t="s">
        <v>140</v>
      </c>
      <c r="E11" s="30" t="s">
        <v>106</v>
      </c>
      <c r="F11" s="55" t="n">
        <v>1.404</v>
      </c>
      <c r="G11" s="55" t="n">
        <v>0.57</v>
      </c>
      <c r="H11" s="55" t="n">
        <v>0.428</v>
      </c>
      <c r="I11" s="55" t="n">
        <v>0.46</v>
      </c>
      <c r="J11" s="32" t="n">
        <f aca="false">IFERROR(F11*FATOR_2016,"n.d.")</f>
        <v>2.17648075884164</v>
      </c>
      <c r="K11" s="32" t="n">
        <f aca="false">IFERROR(G11*FATOR_2019,"n.d.")</f>
        <v>0.793172369719468</v>
      </c>
      <c r="L11" s="32" t="n">
        <f aca="false">IFERROR(H11*FATOR_2022,"n.d.")</f>
        <v>0.489429112045091</v>
      </c>
      <c r="M11" s="33" t="n">
        <f aca="false">IFERROR(K11/J11-1,"n.d.")</f>
        <v>-0.635571154719691</v>
      </c>
      <c r="N11" s="33" t="n">
        <f aca="false">IFERROR(L11/K11-1,"n.d.")</f>
        <v>-0.382947350752783</v>
      </c>
      <c r="O11" s="33" t="n">
        <f aca="false">IFERROR(I11/L11-1,"n.d.")</f>
        <v>-0.0601294678245032</v>
      </c>
      <c r="P11" s="33" t="n">
        <f aca="false">IFERROR(I11/J11-1,"n.d.")</f>
        <v>-0.788649636284944</v>
      </c>
      <c r="Q11" s="32" t="n">
        <f aca="false">IFERROR(I11-F11,"n.d.")</f>
        <v>-0.944</v>
      </c>
      <c r="R11" s="32" t="n">
        <f aca="false">IFERROR(I11-G11,"n.d.")</f>
        <v>-0.11</v>
      </c>
      <c r="S11" s="33" t="n">
        <f aca="false">IFERROR(F11/PIB_2016,"n.d.")</f>
        <v>0.000223947482720235</v>
      </c>
      <c r="T11" s="33" t="n">
        <f aca="false">IFERROR(G11/PIB_2019,"n.d.")</f>
        <v>7.71403294920607E-005</v>
      </c>
      <c r="U11" s="33" t="n">
        <f aca="false">IFERROR(H11/PIB_2022,"n.d.")</f>
        <v>4.24616823001057E-005</v>
      </c>
      <c r="V11" s="33" t="n">
        <f aca="false">IFERROR(I11/PIB_2025,"n.d.")</f>
        <v>3.61108149849834E-005</v>
      </c>
      <c r="W11" s="30" t="s">
        <v>235</v>
      </c>
      <c r="X11" s="30" t="s">
        <v>235</v>
      </c>
      <c r="Y11" s="30" t="s">
        <v>235</v>
      </c>
      <c r="Z11" s="30" t="s">
        <v>235</v>
      </c>
      <c r="AA11" s="30" t="s">
        <v>50</v>
      </c>
      <c r="AB11" s="30" t="s">
        <v>952</v>
      </c>
    </row>
    <row r="12" customFormat="false" ht="22.35" hidden="false" customHeight="false" outlineLevel="0" collapsed="false">
      <c r="A12" s="30" t="s">
        <v>442</v>
      </c>
      <c r="B12" s="30" t="s">
        <v>953</v>
      </c>
      <c r="C12" s="30" t="s">
        <v>692</v>
      </c>
      <c r="D12" s="30" t="s">
        <v>140</v>
      </c>
      <c r="E12" s="30" t="s">
        <v>106</v>
      </c>
      <c r="F12" s="55" t="n">
        <v>1.207</v>
      </c>
      <c r="G12" s="55" t="n">
        <v>0.51</v>
      </c>
      <c r="H12" s="55" t="n">
        <v>0.239</v>
      </c>
      <c r="I12" s="55" t="n">
        <v>0.06</v>
      </c>
      <c r="J12" s="32" t="n">
        <f aca="false">IFERROR(F12*FATOR_2016,"n.d.")</f>
        <v>1.87109136461671</v>
      </c>
      <c r="K12" s="32" t="n">
        <f aca="false">IFERROR(G12*FATOR_2019,"n.d.")</f>
        <v>0.709680541327945</v>
      </c>
      <c r="L12" s="32" t="n">
        <f aca="false">IFERROR(H12*FATOR_2022,"n.d.")</f>
        <v>0.2733027050906</v>
      </c>
      <c r="M12" s="33" t="n">
        <f aca="false">IFERROR(K12/J12-1,"n.d.")</f>
        <v>-0.620713047610412</v>
      </c>
      <c r="N12" s="33" t="n">
        <f aca="false">IFERROR(L12/K12-1,"n.d.")</f>
        <v>-0.614893336966519</v>
      </c>
      <c r="O12" s="33" t="n">
        <f aca="false">IFERROR(I12/L12-1,"n.d.")</f>
        <v>-0.780463204782002</v>
      </c>
      <c r="P12" s="33" t="n">
        <f aca="false">IFERROR(I12/J12-1,"n.d.")</f>
        <v>-0.967933153273736</v>
      </c>
      <c r="Q12" s="32" t="n">
        <f aca="false">IFERROR(I12-F12,"n.d.")</f>
        <v>-1.147</v>
      </c>
      <c r="R12" s="32" t="n">
        <f aca="false">IFERROR(I12-G12,"n.d.")</f>
        <v>-0.45</v>
      </c>
      <c r="S12" s="33" t="n">
        <f aca="false">IFERROR(F12/PIB_2016,"n.d.")</f>
        <v>0.000192524652167609</v>
      </c>
      <c r="T12" s="33" t="n">
        <f aca="false">IFERROR(G12/PIB_2019,"n.d.")</f>
        <v>6.90202948086859E-005</v>
      </c>
      <c r="U12" s="33" t="n">
        <f aca="false">IFERROR(H12/PIB_2022,"n.d.")</f>
        <v>2.37110796021618E-005</v>
      </c>
      <c r="V12" s="33" t="n">
        <f aca="false">IFERROR(I12/PIB_2025,"n.d.")</f>
        <v>4.71010630238914E-006</v>
      </c>
      <c r="W12" s="30" t="s">
        <v>235</v>
      </c>
      <c r="X12" s="30" t="s">
        <v>235</v>
      </c>
      <c r="Y12" s="30" t="s">
        <v>235</v>
      </c>
      <c r="Z12" s="30" t="s">
        <v>235</v>
      </c>
      <c r="AA12" s="30" t="s">
        <v>50</v>
      </c>
      <c r="AB12" s="30" t="s">
        <v>436</v>
      </c>
    </row>
    <row r="13" customFormat="false" ht="22.35" hidden="false" customHeight="false" outlineLevel="0" collapsed="false">
      <c r="A13" s="30" t="s">
        <v>442</v>
      </c>
      <c r="B13" s="30" t="s">
        <v>953</v>
      </c>
      <c r="C13" s="30" t="s">
        <v>693</v>
      </c>
      <c r="D13" s="30" t="s">
        <v>140</v>
      </c>
      <c r="E13" s="30" t="s">
        <v>106</v>
      </c>
      <c r="F13" s="55" t="n">
        <v>1.036</v>
      </c>
      <c r="G13" s="55" t="n">
        <v>0.51</v>
      </c>
      <c r="H13" s="55" t="n">
        <v>0.238</v>
      </c>
      <c r="I13" s="55" t="n">
        <v>0.06</v>
      </c>
      <c r="J13" s="32" t="n">
        <f aca="false">IFERROR(F13*FATOR_2016,"n.d.")</f>
        <v>1.60600716962958</v>
      </c>
      <c r="K13" s="32" t="n">
        <f aca="false">IFERROR(G13*FATOR_2019,"n.d.")</f>
        <v>0.709680541327945</v>
      </c>
      <c r="L13" s="32" t="n">
        <f aca="false">IFERROR(H13*FATOR_2022,"n.d.")</f>
        <v>0.272159179127877</v>
      </c>
      <c r="M13" s="33" t="n">
        <f aca="false">IFERROR(K13/J13-1,"n.d.")</f>
        <v>-0.558108734040316</v>
      </c>
      <c r="N13" s="33" t="n">
        <f aca="false">IFERROR(L13/K13-1,"n.d.")</f>
        <v>-0.61650466191645</v>
      </c>
      <c r="O13" s="33" t="n">
        <f aca="false">IFERROR(I13/L13-1,"n.d.")</f>
        <v>-0.779540781272682</v>
      </c>
      <c r="P13" s="33" t="n">
        <f aca="false">IFERROR(I13/J13-1,"n.d.")</f>
        <v>-0.962640266410617</v>
      </c>
      <c r="Q13" s="32" t="n">
        <f aca="false">IFERROR(I13-F13,"n.d.")</f>
        <v>-0.976</v>
      </c>
      <c r="R13" s="32" t="n">
        <f aca="false">IFERROR(I13-G13,"n.d.")</f>
        <v>-0.45</v>
      </c>
      <c r="S13" s="33" t="n">
        <f aca="false">IFERROR(F13/PIB_2016,"n.d.")</f>
        <v>0.000165248997220914</v>
      </c>
      <c r="T13" s="33" t="n">
        <f aca="false">IFERROR(G13/PIB_2019,"n.d.")</f>
        <v>6.90202948086859E-005</v>
      </c>
      <c r="U13" s="33" t="n">
        <f aca="false">IFERROR(H13/PIB_2022,"n.d.")</f>
        <v>2.36118700640775E-005</v>
      </c>
      <c r="V13" s="33" t="n">
        <f aca="false">IFERROR(I13/PIB_2025,"n.d.")</f>
        <v>4.71010630238914E-006</v>
      </c>
      <c r="W13" s="30" t="s">
        <v>235</v>
      </c>
      <c r="X13" s="30" t="s">
        <v>235</v>
      </c>
      <c r="Y13" s="30" t="s">
        <v>235</v>
      </c>
      <c r="Z13" s="30" t="s">
        <v>235</v>
      </c>
      <c r="AA13" s="30" t="s">
        <v>50</v>
      </c>
      <c r="AB13" s="30" t="s">
        <v>436</v>
      </c>
    </row>
    <row r="14" customFormat="false" ht="22.35" hidden="false" customHeight="false" outlineLevel="0" collapsed="false">
      <c r="A14" s="30" t="s">
        <v>442</v>
      </c>
      <c r="B14" s="30" t="s">
        <v>953</v>
      </c>
      <c r="C14" s="30" t="s">
        <v>694</v>
      </c>
      <c r="D14" s="30" t="s">
        <v>140</v>
      </c>
      <c r="E14" s="30" t="s">
        <v>106</v>
      </c>
      <c r="F14" s="55" t="n">
        <v>0.743</v>
      </c>
      <c r="G14" s="55" t="n">
        <v>0.36</v>
      </c>
      <c r="H14" s="55" t="n">
        <v>0.13</v>
      </c>
      <c r="I14" s="55" t="n">
        <v>0.02</v>
      </c>
      <c r="J14" s="32" t="n">
        <f aca="false">IFERROR(F14*FATOR_2016,"n.d.")</f>
        <v>1.1517985782189</v>
      </c>
      <c r="K14" s="32" t="n">
        <f aca="false">IFERROR(G14*FATOR_2019,"n.d.")</f>
        <v>0.500950970349138</v>
      </c>
      <c r="L14" s="32" t="n">
        <f aca="false">IFERROR(H14*FATOR_2022,"n.d.")</f>
        <v>0.148658375153883</v>
      </c>
      <c r="M14" s="33" t="n">
        <f aca="false">IFERROR(K14/J14-1,"n.d.")</f>
        <v>-0.565070681782061</v>
      </c>
      <c r="N14" s="33" t="n">
        <f aca="false">IFERROR(L14/K14-1,"n.d.")</f>
        <v>-0.703247655054396</v>
      </c>
      <c r="O14" s="33" t="n">
        <f aca="false">IFERROR(I14/L14-1,"n.d.")</f>
        <v>-0.865463348571534</v>
      </c>
      <c r="P14" s="33" t="n">
        <f aca="false">IFERROR(I14/J14-1,"n.d.")</f>
        <v>-0.982635852849439</v>
      </c>
      <c r="Q14" s="32" t="n">
        <f aca="false">IFERROR(I14-F14,"n.d.")</f>
        <v>-0.723</v>
      </c>
      <c r="R14" s="32" t="n">
        <f aca="false">IFERROR(I14-G14,"n.d.")</f>
        <v>-0.34</v>
      </c>
      <c r="S14" s="33" t="n">
        <f aca="false">IFERROR(F14/PIB_2016,"n.d.")</f>
        <v>0.000118513518277161</v>
      </c>
      <c r="T14" s="33" t="n">
        <f aca="false">IFERROR(G14/PIB_2019,"n.d.")</f>
        <v>4.87202081002489E-005</v>
      </c>
      <c r="U14" s="33" t="n">
        <f aca="false">IFERROR(H14/PIB_2022,"n.d.")</f>
        <v>1.28972399509667E-005</v>
      </c>
      <c r="V14" s="33" t="n">
        <f aca="false">IFERROR(I14/PIB_2025,"n.d.")</f>
        <v>1.57003543412971E-006</v>
      </c>
      <c r="W14" s="30" t="s">
        <v>235</v>
      </c>
      <c r="X14" s="30" t="s">
        <v>235</v>
      </c>
      <c r="Y14" s="30" t="s">
        <v>235</v>
      </c>
      <c r="Z14" s="30" t="s">
        <v>235</v>
      </c>
      <c r="AA14" s="30" t="s">
        <v>50</v>
      </c>
      <c r="AB14" s="30" t="s">
        <v>436</v>
      </c>
    </row>
    <row r="15" customFormat="false" ht="32.8" hidden="false" customHeight="false" outlineLevel="0" collapsed="false">
      <c r="A15" s="30" t="s">
        <v>445</v>
      </c>
      <c r="B15" s="30" t="s">
        <v>954</v>
      </c>
      <c r="C15" s="30" t="s">
        <v>690</v>
      </c>
      <c r="D15" s="30" t="s">
        <v>140</v>
      </c>
      <c r="E15" s="30" t="s">
        <v>106</v>
      </c>
      <c r="F15" s="55" t="n">
        <v>1.319</v>
      </c>
      <c r="G15" s="55" t="n">
        <v>0.6</v>
      </c>
      <c r="H15" s="55" t="n">
        <v>0.315</v>
      </c>
      <c r="I15" s="55" t="n">
        <v>0.85</v>
      </c>
      <c r="J15" s="32" t="n">
        <f aca="false">IFERROR(F15*FATOR_2016,"n.d.")</f>
        <v>2.04471376133342</v>
      </c>
      <c r="K15" s="32" t="n">
        <f aca="false">IFERROR(G15*FATOR_2019,"n.d.")</f>
        <v>0.83491828391523</v>
      </c>
      <c r="L15" s="32" t="n">
        <f aca="false">IFERROR(H15*FATOR_2022,"n.d.")</f>
        <v>0.360210678257485</v>
      </c>
      <c r="M15" s="33" t="n">
        <f aca="false">IFERROR(K15/J15-1,"n.d.")</f>
        <v>-0.591669846555561</v>
      </c>
      <c r="N15" s="33" t="n">
        <f aca="false">IFERROR(L15/K15-1,"n.d.")</f>
        <v>-0.568567744656006</v>
      </c>
      <c r="O15" s="33" t="n">
        <f aca="false">IFERROR(I15/L15-1,"n.d.")</f>
        <v>1.35973015600722</v>
      </c>
      <c r="P15" s="33" t="n">
        <f aca="false">IFERROR(I15/J15-1,"n.d.")</f>
        <v>-0.58429389185228</v>
      </c>
      <c r="Q15" s="32" t="n">
        <f aca="false">IFERROR(I15-F15,"n.d.")</f>
        <v>-0.469</v>
      </c>
      <c r="R15" s="32" t="n">
        <f aca="false">IFERROR(I15-G15,"n.d.")</f>
        <v>0.25</v>
      </c>
      <c r="S15" s="33" t="n">
        <f aca="false">IFERROR(F15/PIB_2016,"n.d.")</f>
        <v>0.000210389408623924</v>
      </c>
      <c r="T15" s="33" t="n">
        <f aca="false">IFERROR(G15/PIB_2019,"n.d.")</f>
        <v>8.12003468337481E-005</v>
      </c>
      <c r="U15" s="33" t="n">
        <f aca="false">IFERROR(H15/PIB_2022,"n.d.")</f>
        <v>3.12510044965731E-005</v>
      </c>
      <c r="V15" s="33" t="n">
        <f aca="false">IFERROR(I15/PIB_2025,"n.d.")</f>
        <v>6.67265059505128E-005</v>
      </c>
      <c r="W15" s="30" t="s">
        <v>235</v>
      </c>
      <c r="X15" s="30" t="s">
        <v>235</v>
      </c>
      <c r="Y15" s="30" t="s">
        <v>235</v>
      </c>
      <c r="Z15" s="30" t="s">
        <v>235</v>
      </c>
      <c r="AA15" s="30" t="s">
        <v>50</v>
      </c>
      <c r="AB15" s="30" t="s">
        <v>955</v>
      </c>
    </row>
    <row r="16" customFormat="false" ht="22.35" hidden="false" customHeight="false" outlineLevel="0" collapsed="false">
      <c r="A16" s="30" t="s">
        <v>445</v>
      </c>
      <c r="B16" s="30" t="s">
        <v>954</v>
      </c>
      <c r="C16" s="30" t="s">
        <v>692</v>
      </c>
      <c r="D16" s="30" t="s">
        <v>140</v>
      </c>
      <c r="E16" s="30" t="s">
        <v>106</v>
      </c>
      <c r="F16" s="55" t="n">
        <v>0.855</v>
      </c>
      <c r="G16" s="55" t="n">
        <v>0.87</v>
      </c>
      <c r="H16" s="55" t="n">
        <v>0.198</v>
      </c>
      <c r="I16" s="55" t="n">
        <v>0.58</v>
      </c>
      <c r="J16" s="32" t="n">
        <f aca="false">IFERROR(F16*FATOR_2016,"n.d.")</f>
        <v>1.32542097493561</v>
      </c>
      <c r="K16" s="32" t="n">
        <f aca="false">IFERROR(G16*FATOR_2019,"n.d.")</f>
        <v>1.21063151167708</v>
      </c>
      <c r="L16" s="32" t="n">
        <f aca="false">IFERROR(H16*FATOR_2022,"n.d.")</f>
        <v>0.226418140618991</v>
      </c>
      <c r="M16" s="33" t="n">
        <f aca="false">IFERROR(K16/J16-1,"n.d.")</f>
        <v>-0.0866060409705717</v>
      </c>
      <c r="N16" s="33" t="n">
        <f aca="false">IFERROR(L16/K16-1,"n.d.")</f>
        <v>-0.812975179949402</v>
      </c>
      <c r="O16" s="33" t="n">
        <f aca="false">IFERROR(I16/L16-1,"n.d.")</f>
        <v>1.56163220144099</v>
      </c>
      <c r="P16" s="33" t="n">
        <f aca="false">IFERROR(I16/J16-1,"n.d.")</f>
        <v>-0.562403182861825</v>
      </c>
      <c r="Q16" s="32" t="n">
        <f aca="false">IFERROR(I16-F16,"n.d.")</f>
        <v>-0.275</v>
      </c>
      <c r="R16" s="32" t="n">
        <f aca="false">IFERROR(I16-G16,"n.d.")</f>
        <v>-0.29</v>
      </c>
      <c r="S16" s="33" t="n">
        <f aca="false">IFERROR(F16/PIB_2016,"n.d.")</f>
        <v>0.000136378274733476</v>
      </c>
      <c r="T16" s="33" t="n">
        <f aca="false">IFERROR(G16/PIB_2019,"n.d.")</f>
        <v>0.000117740502908935</v>
      </c>
      <c r="U16" s="33" t="n">
        <f aca="false">IFERROR(H16/PIB_2022,"n.d.")</f>
        <v>1.96434885407031E-005</v>
      </c>
      <c r="V16" s="33" t="n">
        <f aca="false">IFERROR(I16/PIB_2025,"n.d.")</f>
        <v>4.55310275897617E-005</v>
      </c>
      <c r="W16" s="30" t="s">
        <v>235</v>
      </c>
      <c r="X16" s="30" t="s">
        <v>235</v>
      </c>
      <c r="Y16" s="30" t="s">
        <v>235</v>
      </c>
      <c r="Z16" s="30" t="s">
        <v>235</v>
      </c>
      <c r="AA16" s="30" t="s">
        <v>50</v>
      </c>
      <c r="AB16" s="30" t="s">
        <v>436</v>
      </c>
    </row>
    <row r="17" customFormat="false" ht="22.35" hidden="false" customHeight="false" outlineLevel="0" collapsed="false">
      <c r="A17" s="30" t="s">
        <v>445</v>
      </c>
      <c r="B17" s="30" t="s">
        <v>954</v>
      </c>
      <c r="C17" s="30" t="s">
        <v>693</v>
      </c>
      <c r="D17" s="30" t="s">
        <v>140</v>
      </c>
      <c r="E17" s="30" t="s">
        <v>106</v>
      </c>
      <c r="F17" s="55" t="n">
        <v>0.585</v>
      </c>
      <c r="G17" s="55" t="n">
        <v>0.87</v>
      </c>
      <c r="H17" s="55" t="n">
        <v>0.192</v>
      </c>
      <c r="I17" s="55" t="n">
        <v>0.45</v>
      </c>
      <c r="J17" s="32" t="n">
        <f aca="false">IFERROR(F17*FATOR_2016,"n.d.")</f>
        <v>0.906866982850682</v>
      </c>
      <c r="K17" s="32" t="n">
        <f aca="false">IFERROR(G17*FATOR_2019,"n.d.")</f>
        <v>1.21063151167708</v>
      </c>
      <c r="L17" s="32" t="n">
        <f aca="false">IFERROR(H17*FATOR_2022,"n.d.")</f>
        <v>0.219556984842657</v>
      </c>
      <c r="M17" s="33" t="n">
        <f aca="false">IFERROR(K17/J17-1,"n.d.")</f>
        <v>0.334960401658395</v>
      </c>
      <c r="N17" s="33" t="n">
        <f aca="false">IFERROR(L17/K17-1,"n.d.")</f>
        <v>-0.818642598738814</v>
      </c>
      <c r="O17" s="33" t="n">
        <f aca="false">IFERROR(I17/L17-1,"n.d.")</f>
        <v>1.04958179910553</v>
      </c>
      <c r="P17" s="33" t="n">
        <f aca="false">IFERROR(I17/J17-1,"n.d.")</f>
        <v>-0.503786102582043</v>
      </c>
      <c r="Q17" s="32" t="n">
        <f aca="false">IFERROR(I17-F17,"n.d.")</f>
        <v>-0.135</v>
      </c>
      <c r="R17" s="32" t="n">
        <f aca="false">IFERROR(I17-G17,"n.d.")</f>
        <v>-0.42</v>
      </c>
      <c r="S17" s="33" t="n">
        <f aca="false">IFERROR(F17/PIB_2016,"n.d.")</f>
        <v>9.33114511334311E-005</v>
      </c>
      <c r="T17" s="33" t="n">
        <f aca="false">IFERROR(G17/PIB_2019,"n.d.")</f>
        <v>0.000117740502908935</v>
      </c>
      <c r="U17" s="33" t="n">
        <f aca="false">IFERROR(H17/PIB_2022,"n.d.")</f>
        <v>1.90482313121969E-005</v>
      </c>
      <c r="V17" s="33" t="n">
        <f aca="false">IFERROR(I17/PIB_2025,"n.d.")</f>
        <v>3.53257972679185E-005</v>
      </c>
      <c r="W17" s="30" t="s">
        <v>235</v>
      </c>
      <c r="X17" s="30" t="s">
        <v>235</v>
      </c>
      <c r="Y17" s="30" t="s">
        <v>235</v>
      </c>
      <c r="Z17" s="30" t="s">
        <v>235</v>
      </c>
      <c r="AA17" s="30" t="s">
        <v>50</v>
      </c>
      <c r="AB17" s="30" t="s">
        <v>436</v>
      </c>
    </row>
    <row r="18" customFormat="false" ht="22.35" hidden="false" customHeight="false" outlineLevel="0" collapsed="false">
      <c r="A18" s="30" t="s">
        <v>445</v>
      </c>
      <c r="B18" s="30" t="s">
        <v>954</v>
      </c>
      <c r="C18" s="30" t="s">
        <v>694</v>
      </c>
      <c r="D18" s="30" t="s">
        <v>140</v>
      </c>
      <c r="E18" s="30" t="s">
        <v>106</v>
      </c>
      <c r="F18" s="55" t="n">
        <v>0.302</v>
      </c>
      <c r="G18" s="55" t="n">
        <v>0.19</v>
      </c>
      <c r="H18" s="55" t="n">
        <v>0.104</v>
      </c>
      <c r="I18" s="55" t="n">
        <v>0.24</v>
      </c>
      <c r="J18" s="32" t="n">
        <f aca="false">IFERROR(F18*FATOR_2016,"n.d.")</f>
        <v>0.468160391146848</v>
      </c>
      <c r="K18" s="32" t="n">
        <f aca="false">IFERROR(G18*FATOR_2019,"n.d.")</f>
        <v>0.264390789906489</v>
      </c>
      <c r="L18" s="32" t="n">
        <f aca="false">IFERROR(H18*FATOR_2022,"n.d.")</f>
        <v>0.118926700123106</v>
      </c>
      <c r="M18" s="33" t="n">
        <f aca="false">IFERROR(K18/J18-1,"n.d.")</f>
        <v>-0.435255961618594</v>
      </c>
      <c r="N18" s="33" t="n">
        <f aca="false">IFERROR(L18/K18-1,"n.d.")</f>
        <v>-0.550185919240347</v>
      </c>
      <c r="O18" s="33" t="n">
        <f aca="false">IFERROR(I18/L18-1,"n.d.")</f>
        <v>1.01804977142699</v>
      </c>
      <c r="P18" s="33" t="n">
        <f aca="false">IFERROR(I18/J18-1,"n.d.")</f>
        <v>-0.487355178826482</v>
      </c>
      <c r="Q18" s="32" t="n">
        <f aca="false">IFERROR(I18-F18,"n.d.")</f>
        <v>-0.062</v>
      </c>
      <c r="R18" s="32" t="n">
        <f aca="false">IFERROR(I18-G18,"n.d.")</f>
        <v>0.05</v>
      </c>
      <c r="S18" s="33" t="n">
        <f aca="false">IFERROR(F18/PIB_2016,"n.d.")</f>
        <v>4.81710397304208E-005</v>
      </c>
      <c r="T18" s="33" t="n">
        <f aca="false">IFERROR(G18/PIB_2019,"n.d.")</f>
        <v>2.57134431640202E-005</v>
      </c>
      <c r="U18" s="33" t="n">
        <f aca="false">IFERROR(H18/PIB_2022,"n.d.")</f>
        <v>1.03177919607733E-005</v>
      </c>
      <c r="V18" s="33" t="n">
        <f aca="false">IFERROR(I18/PIB_2025,"n.d.")</f>
        <v>1.88404252095566E-005</v>
      </c>
      <c r="W18" s="30" t="s">
        <v>235</v>
      </c>
      <c r="X18" s="30" t="s">
        <v>235</v>
      </c>
      <c r="Y18" s="30" t="s">
        <v>235</v>
      </c>
      <c r="Z18" s="30" t="s">
        <v>235</v>
      </c>
      <c r="AA18" s="30" t="s">
        <v>50</v>
      </c>
      <c r="AB18" s="30" t="s">
        <v>436</v>
      </c>
    </row>
    <row r="19" customFormat="false" ht="22.35" hidden="false" customHeight="false" outlineLevel="0" collapsed="false">
      <c r="A19" s="30" t="s">
        <v>448</v>
      </c>
      <c r="B19" s="30" t="s">
        <v>956</v>
      </c>
      <c r="C19" s="30" t="s">
        <v>690</v>
      </c>
      <c r="D19" s="30" t="s">
        <v>140</v>
      </c>
      <c r="E19" s="30" t="s">
        <v>106</v>
      </c>
      <c r="F19" s="55" t="n">
        <v>0.231</v>
      </c>
      <c r="G19" s="55" t="n">
        <v>0.31</v>
      </c>
      <c r="H19" s="55" t="n">
        <v>0.146</v>
      </c>
      <c r="I19" s="55" t="n">
        <v>0.25</v>
      </c>
      <c r="J19" s="32" t="n">
        <f aca="false">IFERROR(F19*FATOR_2016,"n.d.")</f>
        <v>0.358096193228218</v>
      </c>
      <c r="K19" s="32" t="n">
        <f aca="false">IFERROR(G19*FATOR_2019,"n.d.")</f>
        <v>0.431374446689535</v>
      </c>
      <c r="L19" s="32" t="n">
        <f aca="false">IFERROR(H19*FATOR_2022,"n.d.")</f>
        <v>0.166954790557437</v>
      </c>
      <c r="M19" s="33" t="n">
        <f aca="false">IFERROR(K19/J19-1,"n.d.")</f>
        <v>0.204632874761158</v>
      </c>
      <c r="N19" s="33" t="n">
        <f aca="false">IFERROR(L19/K19-1,"n.d.")</f>
        <v>-0.61297014267144</v>
      </c>
      <c r="O19" s="33" t="n">
        <f aca="false">IFERROR(I19/L19-1,"n.d.")</f>
        <v>0.497411360077102</v>
      </c>
      <c r="P19" s="33" t="n">
        <f aca="false">IFERROR(I19/J19-1,"n.d.")</f>
        <v>-0.301863564238806</v>
      </c>
      <c r="Q19" s="32" t="n">
        <f aca="false">IFERROR(I19-F19,"n.d.")</f>
        <v>0.019</v>
      </c>
      <c r="R19" s="32" t="n">
        <f aca="false">IFERROR(I19-G19,"n.d.")</f>
        <v>-0.06</v>
      </c>
      <c r="S19" s="33" t="n">
        <f aca="false">IFERROR(F19/PIB_2016,"n.d.")</f>
        <v>3.68460601911497E-005</v>
      </c>
      <c r="T19" s="33" t="n">
        <f aca="false">IFERROR(G19/PIB_2019,"n.d.")</f>
        <v>4.19535125307699E-005</v>
      </c>
      <c r="U19" s="33" t="n">
        <f aca="false">IFERROR(H19/PIB_2022,"n.d.")</f>
        <v>1.44845925603164E-005</v>
      </c>
      <c r="V19" s="33" t="n">
        <f aca="false">IFERROR(I19/PIB_2025,"n.d.")</f>
        <v>1.96254429266214E-005</v>
      </c>
      <c r="W19" s="30" t="s">
        <v>235</v>
      </c>
      <c r="X19" s="30" t="s">
        <v>235</v>
      </c>
      <c r="Y19" s="30" t="s">
        <v>235</v>
      </c>
      <c r="Z19" s="30" t="s">
        <v>235</v>
      </c>
      <c r="AA19" s="30" t="s">
        <v>50</v>
      </c>
      <c r="AB19" s="30" t="s">
        <v>952</v>
      </c>
    </row>
    <row r="20" customFormat="false" ht="22.35" hidden="false" customHeight="false" outlineLevel="0" collapsed="false">
      <c r="A20" s="30" t="s">
        <v>448</v>
      </c>
      <c r="B20" s="30" t="s">
        <v>956</v>
      </c>
      <c r="C20" s="30" t="s">
        <v>692</v>
      </c>
      <c r="D20" s="30" t="s">
        <v>140</v>
      </c>
      <c r="E20" s="30" t="s">
        <v>106</v>
      </c>
      <c r="F20" s="55" t="n">
        <v>0.217</v>
      </c>
      <c r="G20" s="55" t="n">
        <v>0.16</v>
      </c>
      <c r="H20" s="55" t="n">
        <v>0.121</v>
      </c>
      <c r="I20" s="55" t="n">
        <v>0.2</v>
      </c>
      <c r="J20" s="32" t="n">
        <f aca="false">IFERROR(F20*FATOR_2016,"n.d.")</f>
        <v>0.336393393638629</v>
      </c>
      <c r="K20" s="32" t="n">
        <f aca="false">IFERROR(G20*FATOR_2019,"n.d.")</f>
        <v>0.222644875710728</v>
      </c>
      <c r="L20" s="32" t="n">
        <f aca="false">IFERROR(H20*FATOR_2022,"n.d.")</f>
        <v>0.138366641489383</v>
      </c>
      <c r="M20" s="33" t="n">
        <f aca="false">IFERROR(K20/J20-1,"n.d.")</f>
        <v>-0.338141354969936</v>
      </c>
      <c r="N20" s="33" t="n">
        <f aca="false">IFERROR(L20/K20-1,"n.d.")</f>
        <v>-0.378532108373532</v>
      </c>
      <c r="O20" s="33" t="n">
        <f aca="false">IFERROR(I20/L20-1,"n.d.")</f>
        <v>0.445435097991781</v>
      </c>
      <c r="P20" s="33" t="n">
        <f aca="false">IFERROR(I20/J20-1,"n.d.")</f>
        <v>-0.405458003093692</v>
      </c>
      <c r="Q20" s="32" t="n">
        <f aca="false">IFERROR(I20-F20,"n.d.")</f>
        <v>-0.017</v>
      </c>
      <c r="R20" s="32" t="n">
        <f aca="false">IFERROR(I20-G20,"n.d.")</f>
        <v>0.04</v>
      </c>
      <c r="S20" s="33" t="n">
        <f aca="false">IFERROR(F20/PIB_2016,"n.d.")</f>
        <v>3.46129656341103E-005</v>
      </c>
      <c r="T20" s="33" t="n">
        <f aca="false">IFERROR(G20/PIB_2019,"n.d.")</f>
        <v>2.16534258223328E-005</v>
      </c>
      <c r="U20" s="33" t="n">
        <f aca="false">IFERROR(H20/PIB_2022,"n.d.")</f>
        <v>1.20043541082074E-005</v>
      </c>
      <c r="V20" s="33" t="n">
        <f aca="false">IFERROR(I20/PIB_2025,"n.d.")</f>
        <v>1.57003543412971E-005</v>
      </c>
      <c r="W20" s="30" t="s">
        <v>235</v>
      </c>
      <c r="X20" s="30" t="s">
        <v>235</v>
      </c>
      <c r="Y20" s="30" t="s">
        <v>235</v>
      </c>
      <c r="Z20" s="30" t="s">
        <v>235</v>
      </c>
      <c r="AA20" s="30" t="s">
        <v>50</v>
      </c>
      <c r="AB20" s="30" t="s">
        <v>436</v>
      </c>
    </row>
    <row r="21" customFormat="false" ht="22.35" hidden="false" customHeight="false" outlineLevel="0" collapsed="false">
      <c r="A21" s="30" t="s">
        <v>448</v>
      </c>
      <c r="B21" s="30" t="s">
        <v>956</v>
      </c>
      <c r="C21" s="30" t="s">
        <v>693</v>
      </c>
      <c r="D21" s="30" t="s">
        <v>140</v>
      </c>
      <c r="E21" s="30" t="s">
        <v>106</v>
      </c>
      <c r="F21" s="55" t="n">
        <v>0.065</v>
      </c>
      <c r="G21" s="55" t="n">
        <v>0.16</v>
      </c>
      <c r="H21" s="55" t="n">
        <v>0.121</v>
      </c>
      <c r="I21" s="55" t="n">
        <v>0.19</v>
      </c>
      <c r="J21" s="32" t="n">
        <f aca="false">IFERROR(F21*FATOR_2016,"n.d.")</f>
        <v>0.10076299809452</v>
      </c>
      <c r="K21" s="32" t="n">
        <f aca="false">IFERROR(G21*FATOR_2019,"n.d.")</f>
        <v>0.222644875710728</v>
      </c>
      <c r="L21" s="32" t="n">
        <f aca="false">IFERROR(H21*FATOR_2022,"n.d.")</f>
        <v>0.138366641489383</v>
      </c>
      <c r="M21" s="33" t="n">
        <f aca="false">IFERROR(K21/J21-1,"n.d.")</f>
        <v>1.20958963033114</v>
      </c>
      <c r="N21" s="33" t="n">
        <f aca="false">IFERROR(L21/K21-1,"n.d.")</f>
        <v>-0.378532108373532</v>
      </c>
      <c r="O21" s="33" t="n">
        <f aca="false">IFERROR(I21/L21-1,"n.d.")</f>
        <v>0.373163343092192</v>
      </c>
      <c r="P21" s="33" t="n">
        <f aca="false">IFERROR(I21/J21-1,"n.d.")</f>
        <v>0.885612810188235</v>
      </c>
      <c r="Q21" s="32" t="n">
        <f aca="false">IFERROR(I21-F21,"n.d.")</f>
        <v>0.125</v>
      </c>
      <c r="R21" s="32" t="n">
        <f aca="false">IFERROR(I21-G21,"n.d.")</f>
        <v>0.03</v>
      </c>
      <c r="S21" s="33" t="n">
        <f aca="false">IFERROR(F21/PIB_2016,"n.d.")</f>
        <v>1.03679390148257E-005</v>
      </c>
      <c r="T21" s="33" t="n">
        <f aca="false">IFERROR(G21/PIB_2019,"n.d.")</f>
        <v>2.16534258223328E-005</v>
      </c>
      <c r="U21" s="33" t="n">
        <f aca="false">IFERROR(H21/PIB_2022,"n.d.")</f>
        <v>1.20043541082074E-005</v>
      </c>
      <c r="V21" s="33" t="n">
        <f aca="false">IFERROR(I21/PIB_2025,"n.d.")</f>
        <v>1.49153366242323E-005</v>
      </c>
      <c r="W21" s="30" t="s">
        <v>235</v>
      </c>
      <c r="X21" s="30" t="s">
        <v>235</v>
      </c>
      <c r="Y21" s="30" t="s">
        <v>235</v>
      </c>
      <c r="Z21" s="30" t="s">
        <v>235</v>
      </c>
      <c r="AA21" s="30" t="s">
        <v>50</v>
      </c>
      <c r="AB21" s="30" t="s">
        <v>436</v>
      </c>
    </row>
    <row r="22" customFormat="false" ht="22.35" hidden="false" customHeight="false" outlineLevel="0" collapsed="false">
      <c r="A22" s="30" t="s">
        <v>448</v>
      </c>
      <c r="B22" s="30" t="s">
        <v>956</v>
      </c>
      <c r="C22" s="30" t="s">
        <v>694</v>
      </c>
      <c r="D22" s="30" t="s">
        <v>140</v>
      </c>
      <c r="E22" s="30" t="s">
        <v>106</v>
      </c>
      <c r="F22" s="55" t="n">
        <v>0.02</v>
      </c>
      <c r="G22" s="55" t="n">
        <v>0.04</v>
      </c>
      <c r="H22" s="55" t="n">
        <v>0.053</v>
      </c>
      <c r="I22" s="55" t="n">
        <v>0.08</v>
      </c>
      <c r="J22" s="32" t="n">
        <f aca="false">IFERROR(F22*FATOR_2016,"n.d.")</f>
        <v>0.0310039994136985</v>
      </c>
      <c r="K22" s="32" t="n">
        <f aca="false">IFERROR(G22*FATOR_2019,"n.d.")</f>
        <v>0.055661218927682</v>
      </c>
      <c r="L22" s="32" t="n">
        <f aca="false">IFERROR(H22*FATOR_2022,"n.d.")</f>
        <v>0.0606068760242752</v>
      </c>
      <c r="M22" s="33" t="n">
        <f aca="false">IFERROR(K22/J22-1,"n.d.")</f>
        <v>0.795291574644049</v>
      </c>
      <c r="N22" s="33" t="n">
        <f aca="false">IFERROR(L22/K22-1,"n.d.")</f>
        <v>0.0888528349157951</v>
      </c>
      <c r="O22" s="33" t="n">
        <f aca="false">IFERROR(I22/L22-1,"n.d.")</f>
        <v>0.31998224043023</v>
      </c>
      <c r="P22" s="33" t="n">
        <f aca="false">IFERROR(I22/J22-1,"n.d.")</f>
        <v>1.58031226657337</v>
      </c>
      <c r="Q22" s="32" t="n">
        <f aca="false">IFERROR(I22-F22,"n.d.")</f>
        <v>0.06</v>
      </c>
      <c r="R22" s="32" t="n">
        <f aca="false">IFERROR(I22-G22,"n.d.")</f>
        <v>0.04</v>
      </c>
      <c r="S22" s="33" t="n">
        <f aca="false">IFERROR(F22/PIB_2016,"n.d.")</f>
        <v>3.19013508148482E-006</v>
      </c>
      <c r="T22" s="33" t="n">
        <f aca="false">IFERROR(G22/PIB_2019,"n.d.")</f>
        <v>5.41335645558321E-006</v>
      </c>
      <c r="U22" s="33" t="n">
        <f aca="false">IFERROR(H22/PIB_2022,"n.d.")</f>
        <v>5.25810551847103E-006</v>
      </c>
      <c r="V22" s="33" t="n">
        <f aca="false">IFERROR(I22/PIB_2025,"n.d.")</f>
        <v>6.28014173651885E-006</v>
      </c>
      <c r="W22" s="30" t="s">
        <v>235</v>
      </c>
      <c r="X22" s="30" t="s">
        <v>235</v>
      </c>
      <c r="Y22" s="30" t="s">
        <v>235</v>
      </c>
      <c r="Z22" s="30" t="s">
        <v>235</v>
      </c>
      <c r="AA22" s="30" t="s">
        <v>50</v>
      </c>
      <c r="AB22" s="30" t="s">
        <v>436</v>
      </c>
    </row>
    <row r="23" customFormat="false" ht="15" hidden="false" customHeight="false" outlineLevel="0" collapsed="false">
      <c r="A23" s="30" t="s">
        <v>451</v>
      </c>
      <c r="B23" s="30" t="s">
        <v>957</v>
      </c>
      <c r="C23" s="30" t="s">
        <v>690</v>
      </c>
      <c r="D23" s="30" t="s">
        <v>140</v>
      </c>
      <c r="E23" s="30" t="s">
        <v>106</v>
      </c>
      <c r="F23" s="55" t="n">
        <v>0.636</v>
      </c>
      <c r="G23" s="55" t="n">
        <v>0.45</v>
      </c>
      <c r="H23" s="55" t="n">
        <v>0.333</v>
      </c>
      <c r="I23" s="55" t="n">
        <v>1.74</v>
      </c>
      <c r="J23" s="32" t="n">
        <f aca="false">IFERROR(F23*FATOR_2016,"n.d.")</f>
        <v>0.985927181355613</v>
      </c>
      <c r="K23" s="32" t="n">
        <f aca="false">IFERROR(G23*FATOR_2019,"n.d.")</f>
        <v>0.626188712936422</v>
      </c>
      <c r="L23" s="32" t="n">
        <f aca="false">IFERROR(H23*FATOR_2022,"n.d.")</f>
        <v>0.380794145586484</v>
      </c>
      <c r="M23" s="33" t="n">
        <f aca="false">IFERROR(K23/J23-1,"n.d.")</f>
        <v>-0.364873263687247</v>
      </c>
      <c r="N23" s="33" t="n">
        <f aca="false">IFERROR(L23/K23-1,"n.d.")</f>
        <v>-0.391885963896084</v>
      </c>
      <c r="O23" s="33" t="n">
        <f aca="false">IFERROR(I23/L23-1,"n.d.")</f>
        <v>3.56939798094879</v>
      </c>
      <c r="P23" s="33" t="n">
        <f aca="false">IFERROR(I23/J23-1,"n.d.")</f>
        <v>0.764836220061978</v>
      </c>
      <c r="Q23" s="32" t="n">
        <f aca="false">IFERROR(I23-F23,"n.d.")</f>
        <v>1.104</v>
      </c>
      <c r="R23" s="32" t="n">
        <f aca="false">IFERROR(I23-G23,"n.d.")</f>
        <v>1.29</v>
      </c>
      <c r="S23" s="33" t="n">
        <f aca="false">IFERROR(F23/PIB_2016,"n.d.")</f>
        <v>0.000101446295591217</v>
      </c>
      <c r="T23" s="33" t="n">
        <f aca="false">IFERROR(G23/PIB_2019,"n.d.")</f>
        <v>6.09002601253111E-005</v>
      </c>
      <c r="U23" s="33" t="n">
        <f aca="false">IFERROR(H23/PIB_2022,"n.d.")</f>
        <v>3.30367761820916E-005</v>
      </c>
      <c r="V23" s="33" t="n">
        <f aca="false">IFERROR(I23/PIB_2025,"n.d.")</f>
        <v>0.000136593082769285</v>
      </c>
      <c r="W23" s="30" t="s">
        <v>235</v>
      </c>
      <c r="X23" s="30" t="s">
        <v>235</v>
      </c>
      <c r="Y23" s="30" t="s">
        <v>235</v>
      </c>
      <c r="Z23" s="30" t="s">
        <v>235</v>
      </c>
      <c r="AA23" s="30" t="s">
        <v>50</v>
      </c>
      <c r="AB23" s="30" t="s">
        <v>691</v>
      </c>
    </row>
    <row r="24" customFormat="false" ht="15" hidden="false" customHeight="false" outlineLevel="0" collapsed="false">
      <c r="A24" s="30" t="s">
        <v>451</v>
      </c>
      <c r="B24" s="30" t="s">
        <v>957</v>
      </c>
      <c r="C24" s="30" t="s">
        <v>692</v>
      </c>
      <c r="D24" s="30" t="s">
        <v>140</v>
      </c>
      <c r="E24" s="30" t="s">
        <v>106</v>
      </c>
      <c r="F24" s="55" t="n">
        <v>0.641</v>
      </c>
      <c r="G24" s="55" t="n">
        <v>0.52</v>
      </c>
      <c r="H24" s="55" t="n">
        <v>0.767</v>
      </c>
      <c r="I24" s="55" t="n">
        <v>0.98</v>
      </c>
      <c r="J24" s="32" t="n">
        <f aca="false">IFERROR(F24*FATOR_2016,"n.d.")</f>
        <v>0.993678181209038</v>
      </c>
      <c r="K24" s="32" t="n">
        <f aca="false">IFERROR(G24*FATOR_2019,"n.d.")</f>
        <v>0.723595846059866</v>
      </c>
      <c r="L24" s="32" t="n">
        <f aca="false">IFERROR(H24*FATOR_2022,"n.d.")</f>
        <v>0.877084413407908</v>
      </c>
      <c r="M24" s="33" t="n">
        <f aca="false">IFERROR(K24/J24-1,"n.d.")</f>
        <v>-0.271800609348748</v>
      </c>
      <c r="N24" s="33" t="n">
        <f aca="false">IFERROR(L24/K24-1,"n.d.")</f>
        <v>0.212119193585508</v>
      </c>
      <c r="O24" s="33" t="n">
        <f aca="false">IFERROR(I24/L24-1,"n.d.")</f>
        <v>0.117338291524546</v>
      </c>
      <c r="P24" s="33" t="n">
        <f aca="false">IFERROR(I24/J24-1,"n.d.")</f>
        <v>-0.0137652023237492</v>
      </c>
      <c r="Q24" s="32" t="n">
        <f aca="false">IFERROR(I24-F24,"n.d.")</f>
        <v>0.339</v>
      </c>
      <c r="R24" s="32" t="n">
        <f aca="false">IFERROR(I24-G24,"n.d.")</f>
        <v>0.46</v>
      </c>
      <c r="S24" s="33" t="n">
        <f aca="false">IFERROR(F24/PIB_2016,"n.d.")</f>
        <v>0.000102243829361589</v>
      </c>
      <c r="T24" s="33" t="n">
        <f aca="false">IFERROR(G24/PIB_2019,"n.d.")</f>
        <v>7.03736339225817E-005</v>
      </c>
      <c r="U24" s="33" t="n">
        <f aca="false">IFERROR(H24/PIB_2022,"n.d.")</f>
        <v>7.60937157107034E-005</v>
      </c>
      <c r="V24" s="33" t="n">
        <f aca="false">IFERROR(I24/PIB_2025,"n.d.")</f>
        <v>7.69317362723559E-005</v>
      </c>
      <c r="W24" s="30" t="s">
        <v>235</v>
      </c>
      <c r="X24" s="30" t="s">
        <v>235</v>
      </c>
      <c r="Y24" s="30" t="s">
        <v>235</v>
      </c>
      <c r="Z24" s="30" t="s">
        <v>235</v>
      </c>
      <c r="AA24" s="30" t="s">
        <v>50</v>
      </c>
      <c r="AB24" s="30" t="s">
        <v>436</v>
      </c>
    </row>
    <row r="25" customFormat="false" ht="15" hidden="false" customHeight="false" outlineLevel="0" collapsed="false">
      <c r="A25" s="30" t="s">
        <v>451</v>
      </c>
      <c r="B25" s="30" t="s">
        <v>957</v>
      </c>
      <c r="C25" s="30" t="s">
        <v>693</v>
      </c>
      <c r="D25" s="30" t="s">
        <v>140</v>
      </c>
      <c r="E25" s="30" t="s">
        <v>106</v>
      </c>
      <c r="F25" s="55" t="n">
        <v>0.564</v>
      </c>
      <c r="G25" s="55" t="n">
        <v>0.51</v>
      </c>
      <c r="H25" s="55" t="n">
        <v>0.763</v>
      </c>
      <c r="I25" s="55" t="n">
        <v>0.79</v>
      </c>
      <c r="J25" s="32" t="n">
        <f aca="false">IFERROR(F25*FATOR_2016,"n.d.")</f>
        <v>0.874312783466298</v>
      </c>
      <c r="K25" s="32" t="n">
        <f aca="false">IFERROR(G25*FATOR_2019,"n.d.")</f>
        <v>0.709680541327945</v>
      </c>
      <c r="L25" s="32" t="n">
        <f aca="false">IFERROR(H25*FATOR_2022,"n.d.")</f>
        <v>0.872510309557019</v>
      </c>
      <c r="M25" s="33" t="n">
        <f aca="false">IFERROR(K25/J25-1,"n.d.")</f>
        <v>-0.188299022102425</v>
      </c>
      <c r="N25" s="33" t="n">
        <f aca="false">IFERROR(L25/K25-1,"n.d.")</f>
        <v>0.229440936797265</v>
      </c>
      <c r="O25" s="33" t="n">
        <f aca="false">IFERROR(I25/L25-1,"n.d.")</f>
        <v>-0.0945665726275601</v>
      </c>
      <c r="P25" s="33" t="n">
        <f aca="false">IFERROR(I25/J25-1,"n.d.")</f>
        <v>-0.0964332045243944</v>
      </c>
      <c r="Q25" s="32" t="n">
        <f aca="false">IFERROR(I25-F25,"n.d.")</f>
        <v>0.226</v>
      </c>
      <c r="R25" s="32" t="n">
        <f aca="false">IFERROR(I25-G25,"n.d.")</f>
        <v>0.28</v>
      </c>
      <c r="S25" s="33" t="n">
        <f aca="false">IFERROR(F25/PIB_2016,"n.d.")</f>
        <v>8.9961809297872E-005</v>
      </c>
      <c r="T25" s="33" t="n">
        <f aca="false">IFERROR(G25/PIB_2019,"n.d.")</f>
        <v>6.90202948086859E-005</v>
      </c>
      <c r="U25" s="33" t="n">
        <f aca="false">IFERROR(H25/PIB_2022,"n.d.")</f>
        <v>7.5696877558366E-005</v>
      </c>
      <c r="V25" s="33" t="n">
        <f aca="false">IFERROR(I25/PIB_2025,"n.d.")</f>
        <v>6.20163996481237E-005</v>
      </c>
      <c r="W25" s="30" t="s">
        <v>235</v>
      </c>
      <c r="X25" s="30" t="s">
        <v>235</v>
      </c>
      <c r="Y25" s="30" t="s">
        <v>235</v>
      </c>
      <c r="Z25" s="30" t="s">
        <v>235</v>
      </c>
      <c r="AA25" s="30" t="s">
        <v>50</v>
      </c>
      <c r="AB25" s="30" t="s">
        <v>436</v>
      </c>
    </row>
    <row r="26" customFormat="false" ht="15" hidden="false" customHeight="false" outlineLevel="0" collapsed="false">
      <c r="A26" s="30" t="s">
        <v>451</v>
      </c>
      <c r="B26" s="30" t="s">
        <v>957</v>
      </c>
      <c r="C26" s="30" t="s">
        <v>694</v>
      </c>
      <c r="D26" s="30" t="s">
        <v>140</v>
      </c>
      <c r="E26" s="30" t="s">
        <v>106</v>
      </c>
      <c r="F26" s="55" t="n">
        <v>0.41</v>
      </c>
      <c r="G26" s="55" t="n">
        <v>0.45</v>
      </c>
      <c r="H26" s="55" t="n">
        <v>0.317</v>
      </c>
      <c r="I26" s="55" t="n">
        <v>0.26</v>
      </c>
      <c r="J26" s="32" t="n">
        <f aca="false">IFERROR(F26*FATOR_2016,"n.d.")</f>
        <v>0.63558198798082</v>
      </c>
      <c r="K26" s="32" t="n">
        <f aca="false">IFERROR(G26*FATOR_2019,"n.d.")</f>
        <v>0.626188712936422</v>
      </c>
      <c r="L26" s="32" t="n">
        <f aca="false">IFERROR(H26*FATOR_2022,"n.d.")</f>
        <v>0.362497730182929</v>
      </c>
      <c r="M26" s="33" t="n">
        <f aca="false">IFERROR(K26/J26-1,"n.d.")</f>
        <v>-0.0147790139148513</v>
      </c>
      <c r="N26" s="33" t="n">
        <f aca="false">IFERROR(L26/K26-1,"n.d.")</f>
        <v>-0.421104656321498</v>
      </c>
      <c r="O26" s="33" t="n">
        <f aca="false">IFERROR(I26/L26-1,"n.d.")</f>
        <v>-0.282754129608495</v>
      </c>
      <c r="P26" s="33" t="n">
        <f aca="false">IFERROR(I26/J26-1,"n.d.")</f>
        <v>-0.590926104079831</v>
      </c>
      <c r="Q26" s="32" t="n">
        <f aca="false">IFERROR(I26-F26,"n.d.")</f>
        <v>-0.15</v>
      </c>
      <c r="R26" s="32" t="n">
        <f aca="false">IFERROR(I26-G26,"n.d.")</f>
        <v>-0.19</v>
      </c>
      <c r="S26" s="33" t="n">
        <f aca="false">IFERROR(F26/PIB_2016,"n.d.")</f>
        <v>6.53977691704389E-005</v>
      </c>
      <c r="T26" s="33" t="n">
        <f aca="false">IFERROR(G26/PIB_2019,"n.d.")</f>
        <v>6.09002601253111E-005</v>
      </c>
      <c r="U26" s="33" t="n">
        <f aca="false">IFERROR(H26/PIB_2022,"n.d.")</f>
        <v>3.14494235727418E-005</v>
      </c>
      <c r="V26" s="33" t="n">
        <f aca="false">IFERROR(I26/PIB_2025,"n.d.")</f>
        <v>2.04104606436863E-005</v>
      </c>
      <c r="W26" s="30" t="s">
        <v>235</v>
      </c>
      <c r="X26" s="30" t="s">
        <v>235</v>
      </c>
      <c r="Y26" s="30" t="s">
        <v>235</v>
      </c>
      <c r="Z26" s="30" t="s">
        <v>235</v>
      </c>
      <c r="AA26" s="30" t="s">
        <v>50</v>
      </c>
      <c r="AB26" s="30" t="s">
        <v>436</v>
      </c>
    </row>
    <row r="27" customFormat="false" ht="22.35" hidden="false" customHeight="false" outlineLevel="0" collapsed="false">
      <c r="A27" s="30" t="s">
        <v>451</v>
      </c>
      <c r="B27" s="30" t="s">
        <v>957</v>
      </c>
      <c r="C27" s="30" t="s">
        <v>695</v>
      </c>
      <c r="D27" s="30" t="s">
        <v>140</v>
      </c>
      <c r="E27" s="30" t="s">
        <v>106</v>
      </c>
      <c r="F27" s="55" t="n">
        <v>0.409</v>
      </c>
      <c r="G27" s="55" t="n">
        <v>0.451</v>
      </c>
      <c r="H27" s="55" t="n">
        <v>0.291</v>
      </c>
      <c r="I27" s="55" t="n">
        <v>0.284</v>
      </c>
      <c r="J27" s="32" t="n">
        <f aca="false">IFERROR(F27*FATOR_2016,"n.d.")</f>
        <v>0.634031788010135</v>
      </c>
      <c r="K27" s="32" t="n">
        <f aca="false">IFERROR(G27*FATOR_2019,"n.d.")</f>
        <v>0.627580243409614</v>
      </c>
      <c r="L27" s="32" t="n">
        <f aca="false">IFERROR(H27*FATOR_2022,"n.d.")</f>
        <v>0.332766055152153</v>
      </c>
      <c r="M27" s="33" t="n">
        <f aca="false">IFERROR(K27/J27-1,"n.d.")</f>
        <v>-0.0101754276718019</v>
      </c>
      <c r="N27" s="33" t="n">
        <f aca="false">IFERROR(L27/K27-1,"n.d.")</f>
        <v>-0.469763335212323</v>
      </c>
      <c r="O27" s="33" t="n">
        <f aca="false">IFERROR(I27/L27-1,"n.d.")</f>
        <v>-0.146547565165128</v>
      </c>
      <c r="P27" s="33" t="n">
        <f aca="false">IFERROR(I27/J27-1,"n.d.")</f>
        <v>-0.552072931719536</v>
      </c>
      <c r="Q27" s="32" t="n">
        <f aca="false">IFERROR(I27-F27,"n.d.")</f>
        <v>-0.125</v>
      </c>
      <c r="R27" s="32" t="n">
        <f aca="false">IFERROR(I27-G27,"n.d.")</f>
        <v>-0.167</v>
      </c>
      <c r="S27" s="33" t="n">
        <f aca="false">IFERROR(F27/PIB_2016,"n.d.")</f>
        <v>6.52382624163646E-005</v>
      </c>
      <c r="T27" s="33" t="n">
        <f aca="false">IFERROR(G27/PIB_2019,"n.d.")</f>
        <v>6.10355940367007E-005</v>
      </c>
      <c r="U27" s="33" t="n">
        <f aca="false">IFERROR(H27/PIB_2022,"n.d.")</f>
        <v>2.88699755825485E-005</v>
      </c>
      <c r="V27" s="33" t="n">
        <f aca="false">IFERROR(I27/PIB_2025,"n.d.")</f>
        <v>2.22945031646419E-005</v>
      </c>
      <c r="W27" s="30" t="s">
        <v>242</v>
      </c>
      <c r="X27" s="30" t="s">
        <v>242</v>
      </c>
      <c r="Y27" s="30" t="s">
        <v>242</v>
      </c>
      <c r="Z27" s="30" t="s">
        <v>242</v>
      </c>
      <c r="AA27" s="30" t="s">
        <v>50</v>
      </c>
      <c r="AB27" s="30" t="s">
        <v>713</v>
      </c>
    </row>
    <row r="28" customFormat="false" ht="22.35" hidden="false" customHeight="false" outlineLevel="0" collapsed="false">
      <c r="A28" s="30" t="s">
        <v>454</v>
      </c>
      <c r="B28" s="30" t="s">
        <v>958</v>
      </c>
      <c r="C28" s="30" t="s">
        <v>690</v>
      </c>
      <c r="D28" s="30" t="s">
        <v>140</v>
      </c>
      <c r="E28" s="30" t="s">
        <v>106</v>
      </c>
      <c r="F28" s="55" t="n">
        <v>1.095</v>
      </c>
      <c r="G28" s="55" t="n">
        <v>0.7</v>
      </c>
      <c r="H28" s="55" t="n">
        <v>0.343</v>
      </c>
      <c r="I28" s="55" t="n">
        <v>1.04</v>
      </c>
      <c r="J28" s="32" t="n">
        <f aca="false">IFERROR(F28*FATOR_2016,"n.d.")</f>
        <v>1.69746896789999</v>
      </c>
      <c r="K28" s="32" t="n">
        <f aca="false">IFERROR(G28*FATOR_2019,"n.d.")</f>
        <v>0.974071331234435</v>
      </c>
      <c r="L28" s="32" t="n">
        <f aca="false">IFERROR(H28*FATOR_2022,"n.d.")</f>
        <v>0.392229405213706</v>
      </c>
      <c r="M28" s="33" t="n">
        <f aca="false">IFERROR(K28/J28-1,"n.d.")</f>
        <v>-0.426162510387747</v>
      </c>
      <c r="N28" s="33" t="n">
        <f aca="false">IFERROR(L28/K28-1,"n.d.")</f>
        <v>-0.597329895012272</v>
      </c>
      <c r="O28" s="33" t="n">
        <f aca="false">IFERROR(I28/L28-1,"n.d.")</f>
        <v>1.65150951503332</v>
      </c>
      <c r="P28" s="33" t="n">
        <f aca="false">IFERROR(I28/J28-1,"n.d.")</f>
        <v>-0.387323114786231</v>
      </c>
      <c r="Q28" s="32" t="n">
        <f aca="false">IFERROR(I28-F28,"n.d.")</f>
        <v>-0.0549999999999999</v>
      </c>
      <c r="R28" s="32" t="n">
        <f aca="false">IFERROR(I28-G28,"n.d.")</f>
        <v>0.34</v>
      </c>
      <c r="S28" s="33" t="n">
        <f aca="false">IFERROR(F28/PIB_2016,"n.d.")</f>
        <v>0.000174659895711294</v>
      </c>
      <c r="T28" s="33" t="n">
        <f aca="false">IFERROR(G28/PIB_2019,"n.d.")</f>
        <v>9.47337379727061E-005</v>
      </c>
      <c r="U28" s="33" t="n">
        <f aca="false">IFERROR(H28/PIB_2022,"n.d.")</f>
        <v>3.40288715629352E-005</v>
      </c>
      <c r="V28" s="33" t="n">
        <f aca="false">IFERROR(I28/PIB_2025,"n.d.")</f>
        <v>8.16418425747451E-005</v>
      </c>
      <c r="W28" s="30" t="s">
        <v>235</v>
      </c>
      <c r="X28" s="30" t="s">
        <v>235</v>
      </c>
      <c r="Y28" s="30" t="s">
        <v>235</v>
      </c>
      <c r="Z28" s="30" t="s">
        <v>235</v>
      </c>
      <c r="AA28" s="30" t="s">
        <v>50</v>
      </c>
      <c r="AB28" s="30" t="s">
        <v>952</v>
      </c>
    </row>
    <row r="29" customFormat="false" ht="22.35" hidden="false" customHeight="false" outlineLevel="0" collapsed="false">
      <c r="A29" s="30" t="s">
        <v>454</v>
      </c>
      <c r="B29" s="30" t="s">
        <v>958</v>
      </c>
      <c r="C29" s="30" t="s">
        <v>692</v>
      </c>
      <c r="D29" s="30" t="s">
        <v>140</v>
      </c>
      <c r="E29" s="30" t="s">
        <v>106</v>
      </c>
      <c r="F29" s="55" t="n">
        <v>1.115</v>
      </c>
      <c r="G29" s="55" t="n">
        <v>0.61</v>
      </c>
      <c r="H29" s="55" t="n">
        <v>0.593</v>
      </c>
      <c r="I29" s="55" t="n">
        <v>0.89</v>
      </c>
      <c r="J29" s="32" t="n">
        <f aca="false">IFERROR(F29*FATOR_2016,"n.d.")</f>
        <v>1.72847296731369</v>
      </c>
      <c r="K29" s="32" t="n">
        <f aca="false">IFERROR(G29*FATOR_2019,"n.d.")</f>
        <v>0.84883358864715</v>
      </c>
      <c r="L29" s="32" t="n">
        <f aca="false">IFERROR(H29*FATOR_2022,"n.d.")</f>
        <v>0.678110895894249</v>
      </c>
      <c r="M29" s="33" t="n">
        <f aca="false">IFERROR(K29/J29-1,"n.d.")</f>
        <v>-0.508911273303646</v>
      </c>
      <c r="N29" s="33" t="n">
        <f aca="false">IFERROR(L29/K29-1,"n.d.")</f>
        <v>-0.201126221954758</v>
      </c>
      <c r="O29" s="33" t="n">
        <f aca="false">IFERROR(I29/L29-1,"n.d.")</f>
        <v>0.312469693952233</v>
      </c>
      <c r="P29" s="33" t="n">
        <f aca="false">IFERROR(I29/J29-1,"n.d.")</f>
        <v>-0.485094637387824</v>
      </c>
      <c r="Q29" s="32" t="n">
        <f aca="false">IFERROR(I29-F29,"n.d.")</f>
        <v>-0.225</v>
      </c>
      <c r="R29" s="32" t="n">
        <f aca="false">IFERROR(I29-G29,"n.d.")</f>
        <v>0.28</v>
      </c>
      <c r="S29" s="33" t="n">
        <f aca="false">IFERROR(F29/PIB_2016,"n.d.")</f>
        <v>0.000177850030792779</v>
      </c>
      <c r="T29" s="33" t="n">
        <f aca="false">IFERROR(G29/PIB_2019,"n.d.")</f>
        <v>8.25536859476439E-005</v>
      </c>
      <c r="U29" s="33" t="n">
        <f aca="false">IFERROR(H29/PIB_2022,"n.d.")</f>
        <v>5.88312560840249E-005</v>
      </c>
      <c r="V29" s="33" t="n">
        <f aca="false">IFERROR(I29/PIB_2025,"n.d.")</f>
        <v>6.98665768187722E-005</v>
      </c>
      <c r="W29" s="30" t="s">
        <v>235</v>
      </c>
      <c r="X29" s="30" t="s">
        <v>235</v>
      </c>
      <c r="Y29" s="30" t="s">
        <v>235</v>
      </c>
      <c r="Z29" s="30" t="s">
        <v>235</v>
      </c>
      <c r="AA29" s="30" t="s">
        <v>50</v>
      </c>
      <c r="AB29" s="30" t="s">
        <v>436</v>
      </c>
    </row>
    <row r="30" customFormat="false" ht="22.35" hidden="false" customHeight="false" outlineLevel="0" collapsed="false">
      <c r="A30" s="30" t="s">
        <v>454</v>
      </c>
      <c r="B30" s="30" t="s">
        <v>958</v>
      </c>
      <c r="C30" s="30" t="s">
        <v>693</v>
      </c>
      <c r="D30" s="30" t="s">
        <v>140</v>
      </c>
      <c r="E30" s="30" t="s">
        <v>106</v>
      </c>
      <c r="F30" s="55" t="n">
        <v>0.834</v>
      </c>
      <c r="G30" s="55" t="n">
        <v>0.58</v>
      </c>
      <c r="H30" s="55" t="n">
        <v>0.593</v>
      </c>
      <c r="I30" s="55" t="n">
        <v>0.86</v>
      </c>
      <c r="J30" s="32" t="n">
        <f aca="false">IFERROR(F30*FATOR_2016,"n.d.")</f>
        <v>1.29286677555123</v>
      </c>
      <c r="K30" s="32" t="n">
        <f aca="false">IFERROR(G30*FATOR_2019,"n.d.")</f>
        <v>0.807087674451389</v>
      </c>
      <c r="L30" s="32" t="n">
        <f aca="false">IFERROR(H30*FATOR_2022,"n.d.")</f>
        <v>0.678110895894249</v>
      </c>
      <c r="M30" s="33" t="n">
        <f aca="false">IFERROR(K30/J30-1,"n.d.")</f>
        <v>-0.375737941670535</v>
      </c>
      <c r="N30" s="33" t="n">
        <f aca="false">IFERROR(L30/K30-1,"n.d.")</f>
        <v>-0.15980516446966</v>
      </c>
      <c r="O30" s="33" t="n">
        <f aca="false">IFERROR(I30/L30-1,"n.d.")</f>
        <v>0.268229142470697</v>
      </c>
      <c r="P30" s="33" t="n">
        <f aca="false">IFERROR(I30/J30-1,"n.d.")</f>
        <v>-0.334811585955305</v>
      </c>
      <c r="Q30" s="32" t="n">
        <f aca="false">IFERROR(I30-F30,"n.d.")</f>
        <v>0.026</v>
      </c>
      <c r="R30" s="32" t="n">
        <f aca="false">IFERROR(I30-G30,"n.d.")</f>
        <v>0.28</v>
      </c>
      <c r="S30" s="33" t="n">
        <f aca="false">IFERROR(F30/PIB_2016,"n.d.")</f>
        <v>0.000133028632897917</v>
      </c>
      <c r="T30" s="33" t="n">
        <f aca="false">IFERROR(G30/PIB_2019,"n.d.")</f>
        <v>7.84936686059565E-005</v>
      </c>
      <c r="U30" s="33" t="n">
        <f aca="false">IFERROR(H30/PIB_2022,"n.d.")</f>
        <v>5.88312560840249E-005</v>
      </c>
      <c r="V30" s="33" t="n">
        <f aca="false">IFERROR(I30/PIB_2025,"n.d.")</f>
        <v>6.75115236675776E-005</v>
      </c>
      <c r="W30" s="30" t="s">
        <v>235</v>
      </c>
      <c r="X30" s="30" t="s">
        <v>235</v>
      </c>
      <c r="Y30" s="30" t="s">
        <v>235</v>
      </c>
      <c r="Z30" s="30" t="s">
        <v>235</v>
      </c>
      <c r="AA30" s="30" t="s">
        <v>50</v>
      </c>
      <c r="AB30" s="30" t="s">
        <v>436</v>
      </c>
    </row>
    <row r="31" customFormat="false" ht="22.35" hidden="false" customHeight="false" outlineLevel="0" collapsed="false">
      <c r="A31" s="30" t="s">
        <v>454</v>
      </c>
      <c r="B31" s="30" t="s">
        <v>958</v>
      </c>
      <c r="C31" s="30" t="s">
        <v>694</v>
      </c>
      <c r="D31" s="30" t="s">
        <v>140</v>
      </c>
      <c r="E31" s="30" t="s">
        <v>106</v>
      </c>
      <c r="F31" s="55" t="n">
        <v>0.489</v>
      </c>
      <c r="G31" s="55" t="n">
        <v>0.44</v>
      </c>
      <c r="H31" s="55" t="n">
        <v>0.301</v>
      </c>
      <c r="I31" s="55" t="n">
        <v>0.74</v>
      </c>
      <c r="J31" s="32" t="n">
        <f aca="false">IFERROR(F31*FATOR_2016,"n.d.")</f>
        <v>0.758047785664929</v>
      </c>
      <c r="K31" s="32" t="n">
        <f aca="false">IFERROR(G31*FATOR_2019,"n.d.")</f>
        <v>0.612273408204502</v>
      </c>
      <c r="L31" s="32" t="n">
        <f aca="false">IFERROR(H31*FATOR_2022,"n.d.")</f>
        <v>0.344201314779374</v>
      </c>
      <c r="M31" s="33" t="n">
        <f aca="false">IFERROR(K31/J31-1,"n.d.")</f>
        <v>-0.192302359055847</v>
      </c>
      <c r="N31" s="33" t="n">
        <f aca="false">IFERROR(L31/K31-1,"n.d.")</f>
        <v>-0.437830697582068</v>
      </c>
      <c r="O31" s="33" t="n">
        <f aca="false">IFERROR(I31/L31-1,"n.d.")</f>
        <v>1.14990462913927</v>
      </c>
      <c r="P31" s="33" t="n">
        <f aca="false">IFERROR(I31/J31-1,"n.d.")</f>
        <v>-0.0238082427074144</v>
      </c>
      <c r="Q31" s="32" t="n">
        <f aca="false">IFERROR(I31-F31,"n.d.")</f>
        <v>0.251</v>
      </c>
      <c r="R31" s="32" t="n">
        <f aca="false">IFERROR(I31-G31,"n.d.")</f>
        <v>0.3</v>
      </c>
      <c r="S31" s="33" t="n">
        <f aca="false">IFERROR(F31/PIB_2016,"n.d.")</f>
        <v>7.79988027423039E-005</v>
      </c>
      <c r="T31" s="33" t="n">
        <f aca="false">IFERROR(G31/PIB_2019,"n.d.")</f>
        <v>5.95469210114153E-005</v>
      </c>
      <c r="U31" s="33" t="n">
        <f aca="false">IFERROR(H31/PIB_2022,"n.d.")</f>
        <v>2.98620709633921E-005</v>
      </c>
      <c r="V31" s="33" t="n">
        <f aca="false">IFERROR(I31/PIB_2025,"n.d.")</f>
        <v>5.80913110627994E-005</v>
      </c>
      <c r="W31" s="30" t="s">
        <v>235</v>
      </c>
      <c r="X31" s="30" t="s">
        <v>235</v>
      </c>
      <c r="Y31" s="30" t="s">
        <v>235</v>
      </c>
      <c r="Z31" s="30" t="s">
        <v>235</v>
      </c>
      <c r="AA31" s="30" t="s">
        <v>50</v>
      </c>
      <c r="AB31" s="30" t="s">
        <v>436</v>
      </c>
    </row>
    <row r="32" customFormat="false" ht="32.8" hidden="false" customHeight="false" outlineLevel="0" collapsed="false">
      <c r="A32" s="60" t="s">
        <v>959</v>
      </c>
      <c r="B32" s="60" t="s">
        <v>960</v>
      </c>
      <c r="C32" s="60" t="s">
        <v>961</v>
      </c>
      <c r="D32" s="60" t="s">
        <v>401</v>
      </c>
      <c r="E32" s="60" t="s">
        <v>106</v>
      </c>
      <c r="F32" s="37" t="n">
        <f aca="false">0.0194*PIB_2016</f>
        <v>121.6249438</v>
      </c>
      <c r="G32" s="61" t="n">
        <v>123.9</v>
      </c>
      <c r="H32" s="61" t="n">
        <v>162.9</v>
      </c>
      <c r="I32" s="61" t="n">
        <v>280</v>
      </c>
      <c r="J32" s="62" t="n">
        <f aca="false">IFERROR(F32*FATOR_2016,"n.d.")</f>
        <v>188.542984313316</v>
      </c>
      <c r="K32" s="62" t="n">
        <f aca="false">IFERROR(G32*FATOR_2019,"n.d.")</f>
        <v>172.410625628495</v>
      </c>
      <c r="L32" s="62" t="n">
        <f aca="false">IFERROR(H32*FATOR_2022,"n.d.")</f>
        <v>186.280379327442</v>
      </c>
      <c r="M32" s="63" t="n">
        <f aca="false">IFERROR(K32/J32-1,"n.d.")</f>
        <v>-0.085563293397396</v>
      </c>
      <c r="N32" s="63" t="n">
        <f aca="false">IFERROR(L32/K32-1,"n.d.")</f>
        <v>0.0804460493568036</v>
      </c>
      <c r="O32" s="63" t="n">
        <f aca="false">IFERROR(I32/L32-1,"n.d.")</f>
        <v>0.503110531613306</v>
      </c>
      <c r="P32" s="63" t="n">
        <f aca="false">IFERROR(I32/J32-1,"n.d.")</f>
        <v>0.485072494316221</v>
      </c>
      <c r="Q32" s="62" t="n">
        <f aca="false">IFERROR(I32-F32,"n.d.")</f>
        <v>158.3750562</v>
      </c>
      <c r="R32" s="62" t="n">
        <f aca="false">IFERROR(I32-G32,"n.d.")</f>
        <v>156.1</v>
      </c>
      <c r="S32" s="63" t="n">
        <f aca="false">IFERROR(F32/PIB_2016,"n.d.")</f>
        <v>0.0194</v>
      </c>
      <c r="T32" s="63" t="n">
        <f aca="false">IFERROR(G32/PIB_2019,"n.d.")</f>
        <v>0.016767871621169</v>
      </c>
      <c r="U32" s="63" t="n">
        <f aca="false">IFERROR(H32/PIB_2022,"n.d.")</f>
        <v>0.0161612337539421</v>
      </c>
      <c r="V32" s="63" t="n">
        <f aca="false">IFERROR(I32/PIB_2025,"n.d.")</f>
        <v>0.021980496077816</v>
      </c>
      <c r="W32" s="60" t="s">
        <v>962</v>
      </c>
      <c r="X32" s="60" t="s">
        <v>963</v>
      </c>
      <c r="Y32" s="60" t="s">
        <v>964</v>
      </c>
      <c r="Z32" s="60" t="s">
        <v>963</v>
      </c>
      <c r="AA32" s="60" t="s">
        <v>56</v>
      </c>
      <c r="AB32" s="60" t="s">
        <v>965</v>
      </c>
    </row>
    <row r="33" customFormat="false" ht="22.35" hidden="false" customHeight="false" outlineLevel="0" collapsed="false">
      <c r="A33" s="60" t="s">
        <v>966</v>
      </c>
      <c r="B33" s="60" t="s">
        <v>967</v>
      </c>
      <c r="C33" s="60" t="s">
        <v>935</v>
      </c>
      <c r="D33" s="60" t="s">
        <v>105</v>
      </c>
      <c r="E33" s="60" t="s">
        <v>106</v>
      </c>
      <c r="F33" s="59" t="s">
        <v>730</v>
      </c>
      <c r="G33" s="61" t="n">
        <v>25</v>
      </c>
      <c r="H33" s="59" t="s">
        <v>730</v>
      </c>
      <c r="I33" s="61" t="n">
        <v>76.5</v>
      </c>
      <c r="J33" s="62" t="str">
        <f aca="false">IFERROR(F33*FATOR_2016,"n.d.")</f>
        <v>n.d.</v>
      </c>
      <c r="K33" s="62" t="n">
        <f aca="false">IFERROR(G33*FATOR_2019,"n.d.")</f>
        <v>34.7882618298012</v>
      </c>
      <c r="L33" s="62" t="str">
        <f aca="false">IFERROR(H33*FATOR_2022,"n.d.")</f>
        <v>n.d.</v>
      </c>
      <c r="M33" s="63" t="str">
        <f aca="false">IFERROR(K33/J33-1,"n.d.")</f>
        <v>n.d.</v>
      </c>
      <c r="N33" s="63" t="str">
        <f aca="false">IFERROR(L33/K33-1,"n.d.")</f>
        <v>n.d.</v>
      </c>
      <c r="O33" s="63" t="str">
        <f aca="false">IFERROR(I33/L33-1,"n.d.")</f>
        <v>n.d.</v>
      </c>
      <c r="P33" s="63" t="str">
        <f aca="false">IFERROR(I33/J33-1,"n.d.")</f>
        <v>n.d.</v>
      </c>
      <c r="Q33" s="62" t="str">
        <f aca="false">IFERROR(I33-F33,"n.d.")</f>
        <v>n.d.</v>
      </c>
      <c r="R33" s="62" t="n">
        <f aca="false">IFERROR(I33-G33,"n.d.")</f>
        <v>51.5</v>
      </c>
      <c r="S33" s="63" t="str">
        <f aca="false">IFERROR(F33/PIB_2016,"n.d.")</f>
        <v>n.d.</v>
      </c>
      <c r="T33" s="63" t="n">
        <f aca="false">IFERROR(G33/PIB_2019,"n.d.")</f>
        <v>0.0033833477847395</v>
      </c>
      <c r="U33" s="63" t="str">
        <f aca="false">IFERROR(H33/PIB_2022,"n.d.")</f>
        <v>n.d.</v>
      </c>
      <c r="V33" s="63" t="n">
        <f aca="false">IFERROR(I33/PIB_2025,"n.d.")</f>
        <v>0.00600538553554615</v>
      </c>
      <c r="W33" s="60" t="s">
        <v>436</v>
      </c>
      <c r="X33" s="60" t="s">
        <v>968</v>
      </c>
      <c r="Y33" s="60" t="s">
        <v>436</v>
      </c>
      <c r="Z33" s="60" t="s">
        <v>968</v>
      </c>
      <c r="AA33" s="60" t="s">
        <v>56</v>
      </c>
      <c r="AB33" s="60" t="s">
        <v>969</v>
      </c>
    </row>
    <row r="34" customFormat="false" ht="22.35" hidden="false" customHeight="false" outlineLevel="0" collapsed="false">
      <c r="A34" s="60" t="s">
        <v>970</v>
      </c>
      <c r="B34" s="60" t="s">
        <v>971</v>
      </c>
      <c r="C34" s="60" t="s">
        <v>972</v>
      </c>
      <c r="D34" s="60" t="s">
        <v>105</v>
      </c>
      <c r="E34" s="60" t="s">
        <v>106</v>
      </c>
      <c r="F34" s="59" t="s">
        <v>730</v>
      </c>
      <c r="G34" s="61" t="n">
        <v>14.4</v>
      </c>
      <c r="H34" s="59" t="s">
        <v>730</v>
      </c>
      <c r="I34" s="61" t="n">
        <v>30</v>
      </c>
      <c r="J34" s="62" t="str">
        <f aca="false">IFERROR(F34*FATOR_2016,"n.d.")</f>
        <v>n.d.</v>
      </c>
      <c r="K34" s="62" t="n">
        <f aca="false">IFERROR(G34*FATOR_2019,"n.d.")</f>
        <v>20.0380388139655</v>
      </c>
      <c r="L34" s="62" t="str">
        <f aca="false">IFERROR(H34*FATOR_2022,"n.d.")</f>
        <v>n.d.</v>
      </c>
      <c r="M34" s="63" t="str">
        <f aca="false">IFERROR(K34/J34-1,"n.d.")</f>
        <v>n.d.</v>
      </c>
      <c r="N34" s="63" t="str">
        <f aca="false">IFERROR(L34/K34-1,"n.d.")</f>
        <v>n.d.</v>
      </c>
      <c r="O34" s="63" t="str">
        <f aca="false">IFERROR(I34/L34-1,"n.d.")</f>
        <v>n.d.</v>
      </c>
      <c r="P34" s="63" t="str">
        <f aca="false">IFERROR(I34/J34-1,"n.d.")</f>
        <v>n.d.</v>
      </c>
      <c r="Q34" s="62" t="str">
        <f aca="false">IFERROR(I34-F34,"n.d.")</f>
        <v>n.d.</v>
      </c>
      <c r="R34" s="62" t="n">
        <f aca="false">IFERROR(I34-G34,"n.d.")</f>
        <v>15.6</v>
      </c>
      <c r="S34" s="63" t="str">
        <f aca="false">IFERROR(F34/PIB_2016,"n.d.")</f>
        <v>n.d.</v>
      </c>
      <c r="T34" s="63" t="n">
        <f aca="false">IFERROR(G34/PIB_2019,"n.d.")</f>
        <v>0.00194880832400995</v>
      </c>
      <c r="U34" s="63" t="str">
        <f aca="false">IFERROR(H34/PIB_2022,"n.d.")</f>
        <v>n.d.</v>
      </c>
      <c r="V34" s="63" t="n">
        <f aca="false">IFERROR(I34/PIB_2025,"n.d.")</f>
        <v>0.00235505315119457</v>
      </c>
      <c r="W34" s="60" t="s">
        <v>436</v>
      </c>
      <c r="X34" s="60" t="s">
        <v>968</v>
      </c>
      <c r="Y34" s="60" t="s">
        <v>436</v>
      </c>
      <c r="Z34" s="60" t="s">
        <v>968</v>
      </c>
      <c r="AA34" s="60" t="s">
        <v>56</v>
      </c>
      <c r="AB34" s="60" t="s">
        <v>973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" hidden="false" customHeight="false" outlineLevel="0" collapsed="false">
      <c r="A36" s="4" t="s">
        <v>457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" hidden="false" customHeight="false" outlineLevel="0" collapsed="false">
      <c r="A37" s="19" t="s">
        <v>974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" hidden="false" customHeight="false" outlineLevel="0" collapsed="false">
      <c r="A38" s="19" t="s">
        <v>975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" hidden="false" customHeight="false" outlineLevel="0" collapsed="false">
      <c r="A39" s="19" t="s">
        <v>582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" hidden="false" customHeight="false" outlineLevel="0" collapsed="false">
      <c r="A40" s="19" t="s">
        <v>583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" hidden="false" customHeight="false" outlineLevel="0" collapsed="false">
      <c r="A41" s="19" t="s">
        <v>584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" hidden="false" customHeight="false" outlineLevel="0" collapsed="false">
      <c r="A42" s="19" t="s">
        <v>585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" hidden="false" customHeight="false" outlineLevel="0" collapsed="false">
      <c r="A43" s="19" t="s">
        <v>586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" hidden="false" customHeight="false" outlineLevel="0" collapsed="false">
      <c r="A44" s="19" t="s">
        <v>587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</sheetData>
  <autoFilter ref="A3:AB3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60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" t="s">
        <v>976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977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8" hidden="false" customHeight="true" outlineLevel="0" collapsed="false">
      <c r="A3" s="28" t="s">
        <v>978</v>
      </c>
      <c r="B3" s="28" t="s">
        <v>979</v>
      </c>
      <c r="C3" s="28" t="s">
        <v>980</v>
      </c>
      <c r="D3" s="28" t="s">
        <v>981</v>
      </c>
      <c r="E3" s="28" t="s">
        <v>982</v>
      </c>
      <c r="F3" s="28" t="s">
        <v>983</v>
      </c>
      <c r="G3" s="28" t="s">
        <v>984</v>
      </c>
      <c r="H3" s="28" t="s">
        <v>985</v>
      </c>
      <c r="I3" s="28" t="s">
        <v>986</v>
      </c>
      <c r="J3" s="28" t="s">
        <v>987</v>
      </c>
    </row>
    <row r="4" customFormat="false" ht="43.25" hidden="false" customHeight="false" outlineLevel="0" collapsed="false">
      <c r="A4" s="30" t="s">
        <v>988</v>
      </c>
      <c r="B4" s="30" t="s">
        <v>989</v>
      </c>
      <c r="C4" s="30" t="s">
        <v>990</v>
      </c>
      <c r="D4" s="80" t="s">
        <v>991</v>
      </c>
      <c r="E4" s="30" t="s">
        <v>992</v>
      </c>
      <c r="F4" s="30" t="s">
        <v>993</v>
      </c>
      <c r="G4" s="30" t="s">
        <v>994</v>
      </c>
      <c r="H4" s="30" t="s">
        <v>995</v>
      </c>
      <c r="I4" s="30" t="s">
        <v>996</v>
      </c>
      <c r="J4" s="30" t="s">
        <v>997</v>
      </c>
    </row>
    <row r="5" customFormat="false" ht="22.35" hidden="false" customHeight="false" outlineLevel="0" collapsed="false">
      <c r="A5" s="30" t="s">
        <v>998</v>
      </c>
      <c r="B5" s="30" t="s">
        <v>999</v>
      </c>
      <c r="C5" s="30" t="s">
        <v>1000</v>
      </c>
      <c r="D5" s="80" t="s">
        <v>1001</v>
      </c>
      <c r="E5" s="30" t="s">
        <v>1002</v>
      </c>
      <c r="F5" s="30" t="s">
        <v>6</v>
      </c>
      <c r="G5" s="30" t="s">
        <v>1003</v>
      </c>
      <c r="H5" s="30" t="s">
        <v>1004</v>
      </c>
      <c r="I5" s="30" t="s">
        <v>1005</v>
      </c>
      <c r="J5" s="30" t="s">
        <v>997</v>
      </c>
    </row>
    <row r="6" customFormat="false" ht="22.35" hidden="false" customHeight="false" outlineLevel="0" collapsed="false">
      <c r="A6" s="30" t="s">
        <v>1006</v>
      </c>
      <c r="B6" s="30" t="s">
        <v>1007</v>
      </c>
      <c r="C6" s="30" t="s">
        <v>990</v>
      </c>
      <c r="D6" s="80" t="s">
        <v>1008</v>
      </c>
      <c r="E6" s="30" t="s">
        <v>1009</v>
      </c>
      <c r="F6" s="30" t="s">
        <v>1010</v>
      </c>
      <c r="G6" s="30" t="s">
        <v>1011</v>
      </c>
      <c r="H6" s="30" t="s">
        <v>1012</v>
      </c>
      <c r="I6" s="30" t="s">
        <v>1013</v>
      </c>
      <c r="J6" s="30" t="s">
        <v>997</v>
      </c>
    </row>
    <row r="7" customFormat="false" ht="32.8" hidden="false" customHeight="false" outlineLevel="0" collapsed="false">
      <c r="A7" s="30" t="s">
        <v>155</v>
      </c>
      <c r="B7" s="30" t="s">
        <v>1014</v>
      </c>
      <c r="C7" s="30" t="s">
        <v>1015</v>
      </c>
      <c r="D7" s="80" t="s">
        <v>1016</v>
      </c>
      <c r="E7" s="30" t="s">
        <v>1017</v>
      </c>
      <c r="F7" s="30" t="s">
        <v>1018</v>
      </c>
      <c r="G7" s="30" t="s">
        <v>1019</v>
      </c>
      <c r="H7" s="30" t="s">
        <v>1020</v>
      </c>
      <c r="I7" s="30" t="s">
        <v>1021</v>
      </c>
      <c r="J7" s="30" t="s">
        <v>997</v>
      </c>
    </row>
    <row r="8" customFormat="false" ht="32.8" hidden="false" customHeight="false" outlineLevel="0" collapsed="false">
      <c r="A8" s="30" t="s">
        <v>148</v>
      </c>
      <c r="B8" s="30" t="s">
        <v>1022</v>
      </c>
      <c r="C8" s="30" t="s">
        <v>1023</v>
      </c>
      <c r="D8" s="80" t="s">
        <v>1024</v>
      </c>
      <c r="E8" s="30" t="s">
        <v>1025</v>
      </c>
      <c r="F8" s="30" t="s">
        <v>993</v>
      </c>
      <c r="G8" s="30" t="s">
        <v>1026</v>
      </c>
      <c r="H8" s="30" t="s">
        <v>1027</v>
      </c>
      <c r="I8" s="30" t="s">
        <v>1028</v>
      </c>
      <c r="J8" s="30" t="s">
        <v>997</v>
      </c>
    </row>
    <row r="9" customFormat="false" ht="32.8" hidden="false" customHeight="false" outlineLevel="0" collapsed="false">
      <c r="A9" s="30" t="s">
        <v>1029</v>
      </c>
      <c r="B9" s="30" t="s">
        <v>1030</v>
      </c>
      <c r="C9" s="30" t="s">
        <v>1023</v>
      </c>
      <c r="D9" s="80" t="s">
        <v>1031</v>
      </c>
      <c r="E9" s="30" t="s">
        <v>1025</v>
      </c>
      <c r="F9" s="30" t="s">
        <v>993</v>
      </c>
      <c r="G9" s="30" t="s">
        <v>1032</v>
      </c>
      <c r="H9" s="30" t="s">
        <v>1033</v>
      </c>
      <c r="I9" s="30" t="s">
        <v>1034</v>
      </c>
      <c r="J9" s="30" t="s">
        <v>997</v>
      </c>
    </row>
    <row r="10" customFormat="false" ht="43.25" hidden="false" customHeight="false" outlineLevel="0" collapsed="false">
      <c r="A10" s="30" t="s">
        <v>283</v>
      </c>
      <c r="B10" s="30" t="s">
        <v>1035</v>
      </c>
      <c r="C10" s="30" t="s">
        <v>1036</v>
      </c>
      <c r="D10" s="80" t="s">
        <v>1037</v>
      </c>
      <c r="E10" s="30" t="s">
        <v>1009</v>
      </c>
      <c r="F10" s="30" t="s">
        <v>993</v>
      </c>
      <c r="G10" s="30" t="s">
        <v>1038</v>
      </c>
      <c r="H10" s="30" t="s">
        <v>1039</v>
      </c>
      <c r="I10" s="30" t="s">
        <v>1040</v>
      </c>
      <c r="J10" s="30" t="s">
        <v>997</v>
      </c>
    </row>
    <row r="11" customFormat="false" ht="32.8" hidden="false" customHeight="false" outlineLevel="0" collapsed="false">
      <c r="A11" s="30" t="s">
        <v>180</v>
      </c>
      <c r="B11" s="30" t="s">
        <v>1041</v>
      </c>
      <c r="C11" s="30" t="s">
        <v>1042</v>
      </c>
      <c r="D11" s="80" t="s">
        <v>1043</v>
      </c>
      <c r="E11" s="30" t="s">
        <v>1009</v>
      </c>
      <c r="F11" s="30" t="s">
        <v>1010</v>
      </c>
      <c r="G11" s="30" t="s">
        <v>1044</v>
      </c>
      <c r="H11" s="30" t="s">
        <v>1045</v>
      </c>
      <c r="I11" s="30" t="s">
        <v>1046</v>
      </c>
      <c r="J11" s="30" t="s">
        <v>997</v>
      </c>
    </row>
    <row r="12" customFormat="false" ht="22.35" hidden="false" customHeight="false" outlineLevel="0" collapsed="false">
      <c r="A12" s="30" t="s">
        <v>660</v>
      </c>
      <c r="B12" s="30" t="s">
        <v>1047</v>
      </c>
      <c r="C12" s="30" t="s">
        <v>1048</v>
      </c>
      <c r="D12" s="80" t="s">
        <v>1049</v>
      </c>
      <c r="E12" s="30" t="s">
        <v>1050</v>
      </c>
      <c r="F12" s="30" t="s">
        <v>4</v>
      </c>
      <c r="G12" s="30" t="s">
        <v>1051</v>
      </c>
      <c r="H12" s="30" t="s">
        <v>1052</v>
      </c>
      <c r="I12" s="30" t="s">
        <v>1053</v>
      </c>
      <c r="J12" s="30" t="s">
        <v>1054</v>
      </c>
    </row>
    <row r="13" customFormat="false" ht="22.35" hidden="false" customHeight="false" outlineLevel="0" collapsed="false">
      <c r="A13" s="30" t="s">
        <v>661</v>
      </c>
      <c r="B13" s="30" t="s">
        <v>1055</v>
      </c>
      <c r="C13" s="30" t="s">
        <v>1056</v>
      </c>
      <c r="D13" s="80" t="s">
        <v>1057</v>
      </c>
      <c r="E13" s="30" t="s">
        <v>1058</v>
      </c>
      <c r="F13" s="30" t="s">
        <v>6</v>
      </c>
      <c r="G13" s="30" t="s">
        <v>1059</v>
      </c>
      <c r="H13" s="30" t="s">
        <v>1060</v>
      </c>
      <c r="I13" s="30" t="s">
        <v>1061</v>
      </c>
      <c r="J13" s="30" t="s">
        <v>1054</v>
      </c>
    </row>
    <row r="14" customFormat="false" ht="22.35" hidden="false" customHeight="false" outlineLevel="0" collapsed="false">
      <c r="A14" s="30" t="s">
        <v>172</v>
      </c>
      <c r="B14" s="30" t="s">
        <v>1062</v>
      </c>
      <c r="C14" s="30" t="s">
        <v>1063</v>
      </c>
      <c r="D14" s="80" t="s">
        <v>1064</v>
      </c>
      <c r="E14" s="30" t="s">
        <v>1065</v>
      </c>
      <c r="F14" s="30" t="s">
        <v>1066</v>
      </c>
      <c r="G14" s="30" t="s">
        <v>1067</v>
      </c>
      <c r="H14" s="30" t="s">
        <v>1068</v>
      </c>
      <c r="I14" s="30" t="s">
        <v>1069</v>
      </c>
      <c r="J14" s="30" t="s">
        <v>997</v>
      </c>
    </row>
    <row r="15" customFormat="false" ht="22.35" hidden="false" customHeight="false" outlineLevel="0" collapsed="false">
      <c r="A15" s="30" t="s">
        <v>1070</v>
      </c>
      <c r="B15" s="30" t="s">
        <v>1071</v>
      </c>
      <c r="C15" s="30" t="s">
        <v>1072</v>
      </c>
      <c r="D15" s="80" t="s">
        <v>1073</v>
      </c>
      <c r="E15" s="30" t="s">
        <v>1074</v>
      </c>
      <c r="F15" s="30" t="s">
        <v>1066</v>
      </c>
      <c r="G15" s="30" t="s">
        <v>1075</v>
      </c>
      <c r="H15" s="30" t="s">
        <v>1076</v>
      </c>
      <c r="I15" s="30" t="s">
        <v>1077</v>
      </c>
      <c r="J15" s="30" t="s">
        <v>997</v>
      </c>
    </row>
    <row r="16" customFormat="false" ht="22.35" hidden="false" customHeight="false" outlineLevel="0" collapsed="false">
      <c r="A16" s="30" t="s">
        <v>1078</v>
      </c>
      <c r="B16" s="30" t="s">
        <v>1079</v>
      </c>
      <c r="C16" s="30" t="s">
        <v>1080</v>
      </c>
      <c r="D16" s="80" t="s">
        <v>1081</v>
      </c>
      <c r="E16" s="30" t="s">
        <v>1082</v>
      </c>
      <c r="F16" s="30" t="s">
        <v>4</v>
      </c>
      <c r="G16" s="30" t="s">
        <v>1083</v>
      </c>
      <c r="H16" s="30" t="s">
        <v>1084</v>
      </c>
      <c r="I16" s="30" t="s">
        <v>1085</v>
      </c>
      <c r="J16" s="30" t="s">
        <v>997</v>
      </c>
    </row>
    <row r="17" customFormat="false" ht="32.8" hidden="false" customHeight="false" outlineLevel="0" collapsed="false">
      <c r="A17" s="30" t="s">
        <v>1086</v>
      </c>
      <c r="B17" s="30" t="s">
        <v>1087</v>
      </c>
      <c r="C17" s="30" t="s">
        <v>1088</v>
      </c>
      <c r="D17" s="80" t="s">
        <v>1089</v>
      </c>
      <c r="E17" s="30" t="s">
        <v>1090</v>
      </c>
      <c r="F17" s="30" t="s">
        <v>1091</v>
      </c>
      <c r="G17" s="30" t="s">
        <v>1092</v>
      </c>
      <c r="H17" s="30" t="s">
        <v>1093</v>
      </c>
      <c r="I17" s="30" t="s">
        <v>1094</v>
      </c>
      <c r="J17" s="30" t="s">
        <v>1095</v>
      </c>
    </row>
    <row r="18" customFormat="false" ht="22.35" hidden="false" customHeight="false" outlineLevel="0" collapsed="false">
      <c r="A18" s="30" t="s">
        <v>374</v>
      </c>
      <c r="B18" s="30" t="s">
        <v>1096</v>
      </c>
      <c r="C18" s="30" t="s">
        <v>1097</v>
      </c>
      <c r="D18" s="80" t="s">
        <v>1098</v>
      </c>
      <c r="E18" s="30" t="s">
        <v>1017</v>
      </c>
      <c r="F18" s="30" t="s">
        <v>6</v>
      </c>
      <c r="G18" s="30" t="s">
        <v>1099</v>
      </c>
      <c r="H18" s="30" t="s">
        <v>1100</v>
      </c>
      <c r="I18" s="30" t="s">
        <v>1101</v>
      </c>
      <c r="J18" s="30" t="s">
        <v>997</v>
      </c>
    </row>
    <row r="19" customFormat="false" ht="22.35" hidden="false" customHeight="false" outlineLevel="0" collapsed="false">
      <c r="A19" s="30" t="s">
        <v>373</v>
      </c>
      <c r="B19" s="30" t="s">
        <v>1102</v>
      </c>
      <c r="C19" s="30" t="s">
        <v>1103</v>
      </c>
      <c r="D19" s="80" t="s">
        <v>1104</v>
      </c>
      <c r="E19" s="30" t="s">
        <v>1105</v>
      </c>
      <c r="F19" s="30" t="s">
        <v>4</v>
      </c>
      <c r="G19" s="30" t="s">
        <v>1099</v>
      </c>
      <c r="H19" s="30" t="s">
        <v>1106</v>
      </c>
      <c r="I19" s="30" t="s">
        <v>1107</v>
      </c>
      <c r="J19" s="30" t="s">
        <v>997</v>
      </c>
    </row>
    <row r="20" customFormat="false" ht="22.35" hidden="false" customHeight="false" outlineLevel="0" collapsed="false">
      <c r="A20" s="30" t="s">
        <v>897</v>
      </c>
      <c r="B20" s="30" t="s">
        <v>1108</v>
      </c>
      <c r="C20" s="30" t="s">
        <v>1109</v>
      </c>
      <c r="D20" s="80" t="s">
        <v>1110</v>
      </c>
      <c r="E20" s="30" t="s">
        <v>1111</v>
      </c>
      <c r="F20" s="30" t="s">
        <v>1066</v>
      </c>
      <c r="G20" s="30" t="s">
        <v>1112</v>
      </c>
      <c r="H20" s="30" t="s">
        <v>1113</v>
      </c>
      <c r="I20" s="30" t="s">
        <v>1114</v>
      </c>
      <c r="J20" s="30" t="s">
        <v>997</v>
      </c>
    </row>
    <row r="21" customFormat="false" ht="22.35" hidden="false" customHeight="false" outlineLevel="0" collapsed="false">
      <c r="A21" s="30" t="s">
        <v>418</v>
      </c>
      <c r="B21" s="30" t="s">
        <v>1115</v>
      </c>
      <c r="C21" s="30" t="s">
        <v>1116</v>
      </c>
      <c r="D21" s="80" t="s">
        <v>1117</v>
      </c>
      <c r="E21" s="30" t="s">
        <v>1009</v>
      </c>
      <c r="F21" s="30" t="s">
        <v>993</v>
      </c>
      <c r="G21" s="30" t="s">
        <v>1118</v>
      </c>
      <c r="H21" s="30" t="s">
        <v>1119</v>
      </c>
      <c r="I21" s="30" t="s">
        <v>1120</v>
      </c>
      <c r="J21" s="30" t="s">
        <v>997</v>
      </c>
    </row>
    <row r="22" customFormat="false" ht="22.35" hidden="false" customHeight="false" outlineLevel="0" collapsed="false">
      <c r="A22" s="30" t="s">
        <v>1121</v>
      </c>
      <c r="B22" s="30" t="s">
        <v>1122</v>
      </c>
      <c r="C22" s="30" t="s">
        <v>1123</v>
      </c>
      <c r="D22" s="80" t="s">
        <v>1124</v>
      </c>
      <c r="E22" s="30" t="s">
        <v>1125</v>
      </c>
      <c r="F22" s="30" t="s">
        <v>6</v>
      </c>
      <c r="G22" s="30" t="s">
        <v>1126</v>
      </c>
      <c r="H22" s="30" t="s">
        <v>1127</v>
      </c>
      <c r="I22" s="30" t="s">
        <v>1128</v>
      </c>
      <c r="J22" s="30" t="s">
        <v>997</v>
      </c>
    </row>
    <row r="23" customFormat="false" ht="22.35" hidden="false" customHeight="false" outlineLevel="0" collapsed="false">
      <c r="A23" s="30" t="s">
        <v>339</v>
      </c>
      <c r="B23" s="30" t="s">
        <v>1129</v>
      </c>
      <c r="C23" s="30" t="s">
        <v>1130</v>
      </c>
      <c r="D23" s="80" t="s">
        <v>1131</v>
      </c>
      <c r="E23" s="30" t="s">
        <v>1132</v>
      </c>
      <c r="F23" s="30" t="s">
        <v>1066</v>
      </c>
      <c r="G23" s="30" t="s">
        <v>1133</v>
      </c>
      <c r="H23" s="30" t="s">
        <v>1134</v>
      </c>
      <c r="I23" s="30" t="s">
        <v>1135</v>
      </c>
      <c r="J23" s="30" t="s">
        <v>1136</v>
      </c>
    </row>
    <row r="24" customFormat="false" ht="22.35" hidden="false" customHeight="false" outlineLevel="0" collapsed="false">
      <c r="A24" s="30" t="s">
        <v>1137</v>
      </c>
      <c r="B24" s="30" t="s">
        <v>1138</v>
      </c>
      <c r="C24" s="30" t="s">
        <v>1139</v>
      </c>
      <c r="D24" s="80" t="s">
        <v>1140</v>
      </c>
      <c r="E24" s="30" t="s">
        <v>1141</v>
      </c>
      <c r="F24" s="30" t="s">
        <v>1142</v>
      </c>
      <c r="G24" s="30" t="s">
        <v>1143</v>
      </c>
      <c r="H24" s="30" t="s">
        <v>1144</v>
      </c>
      <c r="I24" s="30" t="s">
        <v>1145</v>
      </c>
      <c r="J24" s="30" t="s">
        <v>997</v>
      </c>
    </row>
    <row r="25" customFormat="false" ht="22.35" hidden="false" customHeight="false" outlineLevel="0" collapsed="false">
      <c r="A25" s="30" t="s">
        <v>1146</v>
      </c>
      <c r="B25" s="30" t="s">
        <v>1147</v>
      </c>
      <c r="C25" s="30" t="s">
        <v>1148</v>
      </c>
      <c r="D25" s="80" t="s">
        <v>1149</v>
      </c>
      <c r="E25" s="30" t="s">
        <v>1150</v>
      </c>
      <c r="F25" s="30" t="s">
        <v>1151</v>
      </c>
      <c r="G25" s="30" t="s">
        <v>1152</v>
      </c>
      <c r="H25" s="30" t="s">
        <v>1153</v>
      </c>
      <c r="I25" s="30" t="s">
        <v>1154</v>
      </c>
      <c r="J25" s="30" t="s">
        <v>1155</v>
      </c>
    </row>
    <row r="26" customFormat="false" ht="32.8" hidden="false" customHeight="false" outlineLevel="0" collapsed="false">
      <c r="A26" s="60" t="s">
        <v>1156</v>
      </c>
      <c r="B26" s="60" t="s">
        <v>1157</v>
      </c>
      <c r="C26" s="60" t="s">
        <v>1158</v>
      </c>
      <c r="D26" s="81" t="s">
        <v>1159</v>
      </c>
      <c r="E26" s="60" t="s">
        <v>1125</v>
      </c>
      <c r="F26" s="60" t="s">
        <v>6</v>
      </c>
      <c r="G26" s="60" t="s">
        <v>1160</v>
      </c>
      <c r="H26" s="60" t="s">
        <v>1052</v>
      </c>
      <c r="I26" s="60" t="s">
        <v>1161</v>
      </c>
      <c r="J26" s="60" t="s">
        <v>1162</v>
      </c>
    </row>
    <row r="27" customFormat="false" ht="22.35" hidden="false" customHeight="false" outlineLevel="0" collapsed="false">
      <c r="A27" s="60" t="s">
        <v>968</v>
      </c>
      <c r="B27" s="60" t="s">
        <v>1163</v>
      </c>
      <c r="C27" s="60" t="s">
        <v>1164</v>
      </c>
      <c r="D27" s="81" t="s">
        <v>1165</v>
      </c>
      <c r="E27" s="60" t="s">
        <v>1166</v>
      </c>
      <c r="F27" s="60" t="s">
        <v>1066</v>
      </c>
      <c r="G27" s="60" t="s">
        <v>1167</v>
      </c>
      <c r="H27" s="60" t="s">
        <v>1168</v>
      </c>
      <c r="I27" s="60" t="s">
        <v>1169</v>
      </c>
      <c r="J27" s="60" t="s">
        <v>1170</v>
      </c>
    </row>
    <row r="28" customFormat="false" ht="22.35" hidden="false" customHeight="false" outlineLevel="0" collapsed="false">
      <c r="A28" s="60" t="s">
        <v>1171</v>
      </c>
      <c r="B28" s="60" t="s">
        <v>1172</v>
      </c>
      <c r="C28" s="60" t="s">
        <v>1173</v>
      </c>
      <c r="D28" s="81" t="s">
        <v>1174</v>
      </c>
      <c r="E28" s="60" t="s">
        <v>1175</v>
      </c>
      <c r="F28" s="60" t="s">
        <v>6</v>
      </c>
      <c r="G28" s="60" t="s">
        <v>1176</v>
      </c>
      <c r="H28" s="60" t="s">
        <v>1052</v>
      </c>
      <c r="I28" s="60" t="s">
        <v>1177</v>
      </c>
      <c r="J28" s="60" t="s">
        <v>1178</v>
      </c>
    </row>
    <row r="29" customFormat="false" ht="32.8" hidden="false" customHeight="false" outlineLevel="0" collapsed="false">
      <c r="A29" s="60" t="s">
        <v>1179</v>
      </c>
      <c r="B29" s="60" t="s">
        <v>1180</v>
      </c>
      <c r="C29" s="60" t="s">
        <v>1123</v>
      </c>
      <c r="D29" s="81" t="s">
        <v>1181</v>
      </c>
      <c r="E29" s="60" t="s">
        <v>1182</v>
      </c>
      <c r="F29" s="60" t="s">
        <v>1183</v>
      </c>
      <c r="G29" s="60" t="s">
        <v>1184</v>
      </c>
      <c r="H29" s="60" t="s">
        <v>1127</v>
      </c>
      <c r="I29" s="60" t="s">
        <v>1185</v>
      </c>
      <c r="J29" s="60" t="s">
        <v>1186</v>
      </c>
    </row>
    <row r="30" customFormat="false" ht="22.35" hidden="false" customHeight="false" outlineLevel="0" collapsed="false">
      <c r="A30" s="30" t="s">
        <v>1187</v>
      </c>
      <c r="B30" s="30" t="s">
        <v>1188</v>
      </c>
      <c r="C30" s="30" t="s">
        <v>1189</v>
      </c>
      <c r="D30" s="80" t="s">
        <v>1190</v>
      </c>
      <c r="E30" s="30" t="s">
        <v>1191</v>
      </c>
      <c r="F30" s="30" t="s">
        <v>1066</v>
      </c>
      <c r="G30" s="30" t="s">
        <v>1192</v>
      </c>
      <c r="H30" s="30" t="s">
        <v>1193</v>
      </c>
      <c r="I30" s="30" t="s">
        <v>1194</v>
      </c>
      <c r="J30" s="30" t="s">
        <v>1054</v>
      </c>
    </row>
    <row r="31" customFormat="false" ht="22.35" hidden="false" customHeight="false" outlineLevel="0" collapsed="false">
      <c r="A31" s="30" t="s">
        <v>1195</v>
      </c>
      <c r="B31" s="30" t="s">
        <v>1196</v>
      </c>
      <c r="C31" s="30" t="s">
        <v>1197</v>
      </c>
      <c r="D31" s="80" t="s">
        <v>1198</v>
      </c>
      <c r="E31" s="30" t="s">
        <v>1191</v>
      </c>
      <c r="F31" s="30" t="s">
        <v>1066</v>
      </c>
      <c r="G31" s="30" t="s">
        <v>1199</v>
      </c>
      <c r="H31" s="30" t="s">
        <v>1193</v>
      </c>
      <c r="I31" s="30" t="s">
        <v>1200</v>
      </c>
      <c r="J31" s="30" t="s">
        <v>1201</v>
      </c>
    </row>
    <row r="32" customFormat="false" ht="22.35" hidden="false" customHeight="false" outlineLevel="0" collapsed="false">
      <c r="A32" s="30" t="s">
        <v>1202</v>
      </c>
      <c r="B32" s="30" t="s">
        <v>1203</v>
      </c>
      <c r="C32" s="30" t="s">
        <v>1072</v>
      </c>
      <c r="D32" s="80" t="s">
        <v>1204</v>
      </c>
      <c r="E32" s="30" t="s">
        <v>1205</v>
      </c>
      <c r="F32" s="30" t="s">
        <v>1206</v>
      </c>
      <c r="G32" s="30" t="s">
        <v>1075</v>
      </c>
      <c r="H32" s="30" t="s">
        <v>1076</v>
      </c>
      <c r="I32" s="30"/>
      <c r="J32" s="30" t="s">
        <v>997</v>
      </c>
    </row>
    <row r="33" customFormat="false" ht="22.35" hidden="false" customHeight="false" outlineLevel="0" collapsed="false">
      <c r="A33" s="30" t="s">
        <v>638</v>
      </c>
      <c r="B33" s="30" t="s">
        <v>1207</v>
      </c>
      <c r="C33" s="30" t="s">
        <v>1208</v>
      </c>
      <c r="D33" s="80" t="s">
        <v>1209</v>
      </c>
      <c r="E33" s="30" t="s">
        <v>1205</v>
      </c>
      <c r="F33" s="30" t="s">
        <v>1206</v>
      </c>
      <c r="G33" s="30" t="s">
        <v>1067</v>
      </c>
      <c r="H33" s="30" t="s">
        <v>1210</v>
      </c>
      <c r="I33" s="30" t="s">
        <v>1211</v>
      </c>
      <c r="J33" s="30" t="s">
        <v>997</v>
      </c>
    </row>
    <row r="34" customFormat="false" ht="22.35" hidden="false" customHeight="false" outlineLevel="0" collapsed="false">
      <c r="A34" s="30" t="s">
        <v>659</v>
      </c>
      <c r="B34" s="30" t="s">
        <v>1212</v>
      </c>
      <c r="C34" s="30" t="s">
        <v>1213</v>
      </c>
      <c r="D34" s="80" t="s">
        <v>1214</v>
      </c>
      <c r="E34" s="30" t="s">
        <v>1205</v>
      </c>
      <c r="F34" s="30" t="s">
        <v>1206</v>
      </c>
      <c r="G34" s="30" t="s">
        <v>1215</v>
      </c>
      <c r="H34" s="30" t="s">
        <v>1216</v>
      </c>
      <c r="I34" s="30" t="s">
        <v>1217</v>
      </c>
      <c r="J34" s="30" t="s">
        <v>1054</v>
      </c>
    </row>
    <row r="35" customFormat="false" ht="43.25" hidden="false" customHeight="false" outlineLevel="0" collapsed="false">
      <c r="A35" s="30" t="s">
        <v>1218</v>
      </c>
      <c r="B35" s="30" t="s">
        <v>1219</v>
      </c>
      <c r="C35" s="30" t="s">
        <v>337</v>
      </c>
      <c r="D35" s="80" t="s">
        <v>1220</v>
      </c>
      <c r="E35" s="30" t="s">
        <v>1221</v>
      </c>
      <c r="F35" s="30" t="s">
        <v>1206</v>
      </c>
      <c r="G35" s="30" t="s">
        <v>1222</v>
      </c>
      <c r="H35" s="30" t="s">
        <v>1223</v>
      </c>
      <c r="I35" s="30" t="s">
        <v>1224</v>
      </c>
      <c r="J35" s="30" t="s">
        <v>1225</v>
      </c>
    </row>
    <row r="36" customFormat="false" ht="32.8" hidden="false" customHeight="false" outlineLevel="0" collapsed="false">
      <c r="A36" s="30" t="s">
        <v>1226</v>
      </c>
      <c r="B36" s="30" t="s">
        <v>1227</v>
      </c>
      <c r="C36" s="30" t="s">
        <v>1228</v>
      </c>
      <c r="D36" s="80" t="s">
        <v>1229</v>
      </c>
      <c r="E36" s="30" t="s">
        <v>1205</v>
      </c>
      <c r="F36" s="30" t="s">
        <v>1206</v>
      </c>
      <c r="G36" s="30" t="s">
        <v>1099</v>
      </c>
      <c r="H36" s="30" t="s">
        <v>1230</v>
      </c>
      <c r="I36" s="30" t="s">
        <v>1231</v>
      </c>
      <c r="J36" s="30" t="s">
        <v>1232</v>
      </c>
    </row>
    <row r="37" customFormat="false" ht="22.35" hidden="false" customHeight="false" outlineLevel="0" collapsed="false">
      <c r="A37" s="30" t="s">
        <v>1233</v>
      </c>
      <c r="B37" s="30" t="s">
        <v>1234</v>
      </c>
      <c r="C37" s="30" t="s">
        <v>1109</v>
      </c>
      <c r="D37" s="80" t="s">
        <v>1235</v>
      </c>
      <c r="E37" s="30" t="s">
        <v>1236</v>
      </c>
      <c r="F37" s="30" t="s">
        <v>1206</v>
      </c>
      <c r="G37" s="30" t="s">
        <v>1112</v>
      </c>
      <c r="H37" s="30" t="s">
        <v>1004</v>
      </c>
      <c r="I37" s="30" t="s">
        <v>1237</v>
      </c>
      <c r="J37" s="30" t="s">
        <v>997</v>
      </c>
    </row>
    <row r="38" customFormat="false" ht="32.8" hidden="false" customHeight="false" outlineLevel="0" collapsed="false">
      <c r="A38" s="30" t="s">
        <v>1238</v>
      </c>
      <c r="B38" s="30" t="s">
        <v>1239</v>
      </c>
      <c r="C38" s="30" t="s">
        <v>1240</v>
      </c>
      <c r="D38" s="80" t="s">
        <v>1241</v>
      </c>
      <c r="E38" s="30" t="s">
        <v>1242</v>
      </c>
      <c r="F38" s="30" t="s">
        <v>1243</v>
      </c>
      <c r="G38" s="30" t="s">
        <v>1143</v>
      </c>
      <c r="H38" s="30" t="s">
        <v>1193</v>
      </c>
      <c r="I38" s="30" t="s">
        <v>1244</v>
      </c>
      <c r="J38" s="30" t="s">
        <v>1245</v>
      </c>
    </row>
    <row r="39" customFormat="false" ht="22.35" hidden="false" customHeight="false" outlineLevel="0" collapsed="false">
      <c r="A39" s="30" t="s">
        <v>576</v>
      </c>
      <c r="B39" s="30" t="s">
        <v>1246</v>
      </c>
      <c r="C39" s="30" t="s">
        <v>1247</v>
      </c>
      <c r="D39" s="80" t="s">
        <v>1248</v>
      </c>
      <c r="E39" s="30" t="s">
        <v>1249</v>
      </c>
      <c r="F39" s="30" t="s">
        <v>1206</v>
      </c>
      <c r="G39" s="30" t="s">
        <v>1083</v>
      </c>
      <c r="H39" s="30" t="s">
        <v>575</v>
      </c>
      <c r="I39" s="30" t="s">
        <v>1250</v>
      </c>
      <c r="J39" s="30" t="s">
        <v>997</v>
      </c>
    </row>
    <row r="40" customFormat="false" ht="22.35" hidden="false" customHeight="false" outlineLevel="0" collapsed="false">
      <c r="A40" s="60" t="s">
        <v>1251</v>
      </c>
      <c r="B40" s="60" t="s">
        <v>1252</v>
      </c>
      <c r="C40" s="60" t="s">
        <v>1253</v>
      </c>
      <c r="D40" s="81" t="s">
        <v>1254</v>
      </c>
      <c r="E40" s="60" t="s">
        <v>1255</v>
      </c>
      <c r="F40" s="60" t="s">
        <v>5</v>
      </c>
      <c r="G40" s="60" t="s">
        <v>1256</v>
      </c>
      <c r="H40" s="60" t="s">
        <v>1052</v>
      </c>
      <c r="I40" s="60" t="s">
        <v>1257</v>
      </c>
      <c r="J40" s="60" t="s">
        <v>1170</v>
      </c>
    </row>
    <row r="41" customFormat="false" ht="22.35" hidden="false" customHeight="false" outlineLevel="0" collapsed="false">
      <c r="A41" s="30" t="s">
        <v>1258</v>
      </c>
      <c r="B41" s="30" t="s">
        <v>1259</v>
      </c>
      <c r="C41" s="30" t="s">
        <v>1260</v>
      </c>
      <c r="D41" s="80" t="s">
        <v>1261</v>
      </c>
      <c r="E41" s="30" t="s">
        <v>1262</v>
      </c>
      <c r="F41" s="30" t="s">
        <v>5</v>
      </c>
      <c r="G41" s="30" t="s">
        <v>1263</v>
      </c>
      <c r="H41" s="30" t="s">
        <v>1052</v>
      </c>
      <c r="I41" s="30" t="s">
        <v>1264</v>
      </c>
      <c r="J41" s="30" t="s">
        <v>1201</v>
      </c>
    </row>
    <row r="42" customFormat="false" ht="22.35" hidden="false" customHeight="false" outlineLevel="0" collapsed="false">
      <c r="A42" s="60" t="s">
        <v>1265</v>
      </c>
      <c r="B42" s="60" t="s">
        <v>1266</v>
      </c>
      <c r="C42" s="60" t="s">
        <v>1267</v>
      </c>
      <c r="D42" s="81" t="s">
        <v>1268</v>
      </c>
      <c r="E42" s="60" t="s">
        <v>3</v>
      </c>
      <c r="F42" s="60" t="s">
        <v>3</v>
      </c>
      <c r="G42" s="60" t="s">
        <v>1269</v>
      </c>
      <c r="H42" s="60" t="s">
        <v>1052</v>
      </c>
      <c r="I42" s="60" t="s">
        <v>1270</v>
      </c>
      <c r="J42" s="60" t="s">
        <v>1271</v>
      </c>
    </row>
    <row r="43" customFormat="false" ht="32.8" hidden="false" customHeight="false" outlineLevel="0" collapsed="false">
      <c r="A43" s="30" t="s">
        <v>1272</v>
      </c>
      <c r="B43" s="30" t="s">
        <v>1273</v>
      </c>
      <c r="C43" s="30" t="s">
        <v>1036</v>
      </c>
      <c r="D43" s="80" t="s">
        <v>1274</v>
      </c>
      <c r="E43" s="30" t="s">
        <v>1009</v>
      </c>
      <c r="F43" s="30" t="s">
        <v>993</v>
      </c>
      <c r="G43" s="30" t="s">
        <v>1275</v>
      </c>
      <c r="H43" s="30" t="s">
        <v>1276</v>
      </c>
      <c r="I43" s="30" t="s">
        <v>1277</v>
      </c>
      <c r="J43" s="30" t="s">
        <v>997</v>
      </c>
    </row>
    <row r="44" customFormat="false" ht="15" hidden="false" customHeight="false" outlineLevel="0" collapsed="false">
      <c r="A44" s="30" t="s">
        <v>1278</v>
      </c>
      <c r="B44" s="30" t="s">
        <v>1279</v>
      </c>
      <c r="C44" s="30" t="s">
        <v>1280</v>
      </c>
      <c r="D44" s="80" t="s">
        <v>1016</v>
      </c>
      <c r="E44" s="30" t="s">
        <v>1017</v>
      </c>
      <c r="F44" s="30" t="s">
        <v>1018</v>
      </c>
      <c r="G44" s="30" t="s">
        <v>1281</v>
      </c>
      <c r="H44" s="30" t="s">
        <v>1282</v>
      </c>
      <c r="I44" s="30" t="s">
        <v>1283</v>
      </c>
      <c r="J44" s="30" t="s">
        <v>997</v>
      </c>
    </row>
    <row r="45" customFormat="false" ht="43.25" hidden="false" customHeight="false" outlineLevel="0" collapsed="false">
      <c r="A45" s="30" t="s">
        <v>1284</v>
      </c>
      <c r="B45" s="30" t="s">
        <v>1285</v>
      </c>
      <c r="C45" s="30" t="s">
        <v>1286</v>
      </c>
      <c r="D45" s="80" t="s">
        <v>1287</v>
      </c>
      <c r="E45" s="30" t="s">
        <v>1288</v>
      </c>
      <c r="F45" s="30" t="s">
        <v>1289</v>
      </c>
      <c r="G45" s="30" t="s">
        <v>1290</v>
      </c>
      <c r="H45" s="30" t="s">
        <v>1193</v>
      </c>
      <c r="I45" s="30" t="s">
        <v>1291</v>
      </c>
      <c r="J45" s="30" t="s">
        <v>1292</v>
      </c>
    </row>
    <row r="46" customFormat="false" ht="22.35" hidden="false" customHeight="false" outlineLevel="0" collapsed="false">
      <c r="A46" s="60" t="s">
        <v>1293</v>
      </c>
      <c r="B46" s="60" t="s">
        <v>1294</v>
      </c>
      <c r="C46" s="60" t="s">
        <v>1295</v>
      </c>
      <c r="D46" s="81" t="s">
        <v>1296</v>
      </c>
      <c r="E46" s="60" t="s">
        <v>1297</v>
      </c>
      <c r="F46" s="60" t="s">
        <v>1298</v>
      </c>
      <c r="G46" s="60" t="s">
        <v>1299</v>
      </c>
      <c r="H46" s="60" t="s">
        <v>1193</v>
      </c>
      <c r="I46" s="60" t="s">
        <v>1300</v>
      </c>
      <c r="J46" s="60" t="s">
        <v>1162</v>
      </c>
    </row>
    <row r="47" customFormat="false" ht="22.35" hidden="false" customHeight="false" outlineLevel="0" collapsed="false">
      <c r="A47" s="60" t="s">
        <v>1301</v>
      </c>
      <c r="B47" s="60" t="s">
        <v>1302</v>
      </c>
      <c r="C47" s="60" t="s">
        <v>1303</v>
      </c>
      <c r="D47" s="81" t="s">
        <v>1304</v>
      </c>
      <c r="E47" s="60" t="s">
        <v>1305</v>
      </c>
      <c r="F47" s="60" t="s">
        <v>6</v>
      </c>
      <c r="G47" s="60" t="s">
        <v>1306</v>
      </c>
      <c r="H47" s="60" t="s">
        <v>1193</v>
      </c>
      <c r="I47" s="60" t="s">
        <v>1307</v>
      </c>
      <c r="J47" s="60" t="s">
        <v>1162</v>
      </c>
    </row>
    <row r="48" customFormat="false" ht="22.35" hidden="false" customHeight="false" outlineLevel="0" collapsed="false">
      <c r="A48" s="30" t="s">
        <v>1308</v>
      </c>
      <c r="B48" s="30" t="s">
        <v>1309</v>
      </c>
      <c r="C48" s="30" t="s">
        <v>1310</v>
      </c>
      <c r="D48" s="80" t="s">
        <v>1311</v>
      </c>
      <c r="E48" s="30" t="s">
        <v>1009</v>
      </c>
      <c r="F48" s="30" t="s">
        <v>1312</v>
      </c>
      <c r="G48" s="30" t="s">
        <v>1313</v>
      </c>
      <c r="H48" s="30" t="s">
        <v>1314</v>
      </c>
      <c r="I48" s="30" t="s">
        <v>1315</v>
      </c>
      <c r="J48" s="30" t="s">
        <v>997</v>
      </c>
    </row>
    <row r="49" customFormat="false" ht="22.35" hidden="false" customHeight="false" outlineLevel="0" collapsed="false">
      <c r="A49" s="30" t="s">
        <v>1316</v>
      </c>
      <c r="B49" s="30" t="s">
        <v>1317</v>
      </c>
      <c r="C49" s="30" t="s">
        <v>1318</v>
      </c>
      <c r="D49" s="80" t="s">
        <v>1319</v>
      </c>
      <c r="E49" s="30" t="s">
        <v>1320</v>
      </c>
      <c r="F49" s="30" t="s">
        <v>1321</v>
      </c>
      <c r="G49" s="30" t="s">
        <v>1322</v>
      </c>
      <c r="H49" s="30" t="s">
        <v>1323</v>
      </c>
      <c r="I49" s="30" t="s">
        <v>1324</v>
      </c>
      <c r="J49" s="30" t="s">
        <v>997</v>
      </c>
    </row>
    <row r="50" customFormat="false" ht="32.8" hidden="false" customHeight="false" outlineLevel="0" collapsed="false">
      <c r="A50" s="30" t="s">
        <v>1325</v>
      </c>
      <c r="B50" s="30" t="s">
        <v>1326</v>
      </c>
      <c r="C50" s="30" t="s">
        <v>1327</v>
      </c>
      <c r="D50" s="80" t="s">
        <v>1328</v>
      </c>
      <c r="E50" s="30" t="s">
        <v>1329</v>
      </c>
      <c r="F50" s="30" t="s">
        <v>1330</v>
      </c>
      <c r="G50" s="30" t="s">
        <v>1331</v>
      </c>
      <c r="H50" s="30" t="s">
        <v>1332</v>
      </c>
      <c r="I50" s="30" t="s">
        <v>1333</v>
      </c>
      <c r="J50" s="30" t="s">
        <v>997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4" t="s">
        <v>1334</v>
      </c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82" t="s">
        <v>1335</v>
      </c>
      <c r="C53" s="2"/>
      <c r="D53" s="82" t="s">
        <v>1336</v>
      </c>
      <c r="E53" s="2"/>
      <c r="F53" s="2"/>
      <c r="G53" s="2"/>
      <c r="H53" s="2"/>
      <c r="I53" s="82" t="s">
        <v>1337</v>
      </c>
      <c r="J53" s="2"/>
    </row>
    <row r="54" customFormat="false" ht="32.8" hidden="false" customHeight="false" outlineLevel="0" collapsed="false">
      <c r="A54" s="2"/>
      <c r="B54" s="83" t="s">
        <v>1338</v>
      </c>
      <c r="C54" s="2"/>
      <c r="D54" s="83" t="s">
        <v>1339</v>
      </c>
      <c r="E54" s="2"/>
      <c r="F54" s="2"/>
      <c r="G54" s="2"/>
      <c r="H54" s="2"/>
      <c r="I54" s="83" t="s">
        <v>1340</v>
      </c>
      <c r="J54" s="2"/>
    </row>
    <row r="55" customFormat="false" ht="22.35" hidden="false" customHeight="false" outlineLevel="0" collapsed="false">
      <c r="A55" s="2"/>
      <c r="B55" s="83" t="s">
        <v>1341</v>
      </c>
      <c r="C55" s="2"/>
      <c r="D55" s="83" t="s">
        <v>1342</v>
      </c>
      <c r="E55" s="2"/>
      <c r="F55" s="2"/>
      <c r="G55" s="2"/>
      <c r="H55" s="2"/>
      <c r="I55" s="83" t="s">
        <v>1343</v>
      </c>
      <c r="J55" s="2"/>
    </row>
    <row r="56" customFormat="false" ht="22.35" hidden="false" customHeight="false" outlineLevel="0" collapsed="false">
      <c r="A56" s="2"/>
      <c r="B56" s="83" t="s">
        <v>1344</v>
      </c>
      <c r="C56" s="2"/>
      <c r="D56" s="83" t="s">
        <v>1345</v>
      </c>
      <c r="E56" s="2"/>
      <c r="F56" s="2"/>
      <c r="G56" s="2"/>
      <c r="H56" s="2"/>
      <c r="I56" s="83" t="s">
        <v>1346</v>
      </c>
      <c r="J56" s="2"/>
    </row>
    <row r="57" customFormat="false" ht="22.35" hidden="false" customHeight="false" outlineLevel="0" collapsed="false">
      <c r="A57" s="2"/>
      <c r="B57" s="83" t="s">
        <v>1347</v>
      </c>
      <c r="C57" s="2"/>
      <c r="D57" s="83" t="s">
        <v>1348</v>
      </c>
      <c r="E57" s="2"/>
      <c r="F57" s="2"/>
      <c r="G57" s="2"/>
      <c r="H57" s="2"/>
      <c r="I57" s="83" t="s">
        <v>1349</v>
      </c>
      <c r="J57" s="2"/>
    </row>
    <row r="58" customFormat="false" ht="22.35" hidden="false" customHeight="false" outlineLevel="0" collapsed="false">
      <c r="A58" s="2"/>
      <c r="B58" s="83" t="s">
        <v>1350</v>
      </c>
      <c r="C58" s="2"/>
      <c r="D58" s="83" t="s">
        <v>1351</v>
      </c>
      <c r="E58" s="2"/>
      <c r="F58" s="2"/>
      <c r="G58" s="2"/>
      <c r="H58" s="2"/>
      <c r="I58" s="83" t="s">
        <v>1352</v>
      </c>
      <c r="J58" s="2"/>
    </row>
    <row r="59" customFormat="false" ht="22.35" hidden="false" customHeight="false" outlineLevel="0" collapsed="false">
      <c r="A59" s="2"/>
      <c r="B59" s="83" t="s">
        <v>1353</v>
      </c>
      <c r="C59" s="2"/>
      <c r="D59" s="83" t="s">
        <v>1354</v>
      </c>
      <c r="E59" s="2"/>
      <c r="F59" s="2"/>
      <c r="G59" s="2"/>
      <c r="H59" s="2"/>
      <c r="I59" s="83" t="s">
        <v>1355</v>
      </c>
      <c r="J59" s="2"/>
    </row>
    <row r="60" customFormat="false" ht="22.35" hidden="false" customHeight="false" outlineLevel="0" collapsed="false">
      <c r="A60" s="2"/>
      <c r="B60" s="83" t="s">
        <v>1356</v>
      </c>
      <c r="C60" s="2"/>
      <c r="D60" s="83" t="s">
        <v>1357</v>
      </c>
      <c r="E60" s="2"/>
      <c r="F60" s="2"/>
      <c r="G60" s="2"/>
      <c r="H60" s="2"/>
      <c r="I60" s="83" t="s">
        <v>1358</v>
      </c>
      <c r="J60" s="2"/>
    </row>
    <row r="61" customFormat="false" ht="22.35" hidden="false" customHeight="false" outlineLevel="0" collapsed="false">
      <c r="A61" s="2"/>
      <c r="B61" s="83" t="s">
        <v>1359</v>
      </c>
      <c r="C61" s="2"/>
      <c r="D61" s="83" t="s">
        <v>1360</v>
      </c>
      <c r="E61" s="2"/>
      <c r="F61" s="2"/>
      <c r="G61" s="2"/>
      <c r="H61" s="2"/>
      <c r="I61" s="83" t="s">
        <v>1361</v>
      </c>
      <c r="J61" s="2"/>
    </row>
    <row r="62" customFormat="false" ht="22.35" hidden="false" customHeight="false" outlineLevel="0" collapsed="false">
      <c r="A62" s="2"/>
      <c r="B62" s="83" t="s">
        <v>1362</v>
      </c>
      <c r="C62" s="2"/>
      <c r="D62" s="83" t="s">
        <v>436</v>
      </c>
      <c r="E62" s="2"/>
      <c r="F62" s="2"/>
      <c r="G62" s="2"/>
      <c r="H62" s="2"/>
      <c r="I62" s="83" t="s">
        <v>1363</v>
      </c>
      <c r="J62" s="2"/>
    </row>
    <row r="63" customFormat="false" ht="22.35" hidden="false" customHeight="false" outlineLevel="0" collapsed="false">
      <c r="A63" s="2"/>
      <c r="B63" s="83" t="s">
        <v>1364</v>
      </c>
      <c r="C63" s="2"/>
      <c r="D63" s="83" t="s">
        <v>1365</v>
      </c>
      <c r="E63" s="2"/>
      <c r="F63" s="2"/>
      <c r="G63" s="2"/>
      <c r="H63" s="2"/>
      <c r="I63" s="83" t="s">
        <v>1366</v>
      </c>
      <c r="J63" s="2"/>
    </row>
    <row r="64" customFormat="false" ht="22.35" hidden="false" customHeight="false" outlineLevel="0" collapsed="false">
      <c r="A64" s="2"/>
      <c r="B64" s="83" t="s">
        <v>1367</v>
      </c>
      <c r="C64" s="2"/>
      <c r="D64" s="83" t="s">
        <v>1368</v>
      </c>
      <c r="E64" s="2"/>
      <c r="F64" s="2"/>
      <c r="G64" s="2"/>
      <c r="H64" s="2"/>
      <c r="I64" s="83" t="s">
        <v>1369</v>
      </c>
      <c r="J64" s="2"/>
    </row>
    <row r="65" customFormat="false" ht="15" hidden="false" customHeight="false" outlineLevel="0" collapsed="false">
      <c r="A65" s="2"/>
      <c r="B65" s="83" t="s">
        <v>1370</v>
      </c>
      <c r="C65" s="2"/>
      <c r="D65" s="83" t="s">
        <v>1371</v>
      </c>
      <c r="E65" s="2"/>
      <c r="F65" s="2"/>
      <c r="G65" s="2"/>
      <c r="H65" s="2"/>
      <c r="I65" s="83" t="s">
        <v>1372</v>
      </c>
      <c r="J65" s="2"/>
    </row>
    <row r="66" customFormat="false" ht="15" hidden="false" customHeight="false" outlineLevel="0" collapsed="false">
      <c r="A66" s="2"/>
      <c r="B66" s="83" t="s">
        <v>1373</v>
      </c>
      <c r="C66" s="2"/>
      <c r="D66" s="83" t="s">
        <v>1374</v>
      </c>
      <c r="E66" s="2"/>
      <c r="F66" s="2"/>
      <c r="G66" s="2"/>
      <c r="H66" s="2"/>
      <c r="I66" s="83" t="s">
        <v>1375</v>
      </c>
      <c r="J66" s="2"/>
    </row>
    <row r="67" customFormat="false" ht="22.35" hidden="false" customHeight="false" outlineLevel="0" collapsed="false">
      <c r="A67" s="2"/>
      <c r="B67" s="83" t="s">
        <v>1376</v>
      </c>
      <c r="C67" s="2"/>
      <c r="D67" s="83" t="s">
        <v>1377</v>
      </c>
      <c r="E67" s="2"/>
      <c r="F67" s="2"/>
      <c r="G67" s="2"/>
      <c r="H67" s="2"/>
      <c r="I67" s="83" t="s">
        <v>1378</v>
      </c>
      <c r="J67" s="2"/>
    </row>
    <row r="68" customFormat="false" ht="15" hidden="false" customHeight="false" outlineLevel="0" collapsed="false">
      <c r="A68" s="2"/>
      <c r="B68" s="83" t="s">
        <v>1379</v>
      </c>
      <c r="C68" s="2"/>
      <c r="D68" s="83" t="s">
        <v>1380</v>
      </c>
      <c r="E68" s="2"/>
      <c r="F68" s="2"/>
      <c r="G68" s="2"/>
      <c r="H68" s="2"/>
      <c r="I68" s="83" t="s">
        <v>1381</v>
      </c>
      <c r="J68" s="2"/>
    </row>
    <row r="69" customFormat="false" ht="15" hidden="false" customHeight="false" outlineLevel="0" collapsed="false">
      <c r="A69" s="2"/>
      <c r="B69" s="83" t="s">
        <v>1382</v>
      </c>
      <c r="C69" s="2"/>
      <c r="D69" s="83" t="s">
        <v>1383</v>
      </c>
      <c r="E69" s="2"/>
      <c r="F69" s="2"/>
      <c r="G69" s="2"/>
      <c r="H69" s="2"/>
      <c r="I69" s="83" t="s">
        <v>1384</v>
      </c>
      <c r="J69" s="2"/>
    </row>
    <row r="70" customFormat="false" ht="15" hidden="false" customHeight="false" outlineLevel="0" collapsed="false">
      <c r="A70" s="2"/>
      <c r="B70" s="83" t="s">
        <v>1385</v>
      </c>
      <c r="C70" s="2"/>
      <c r="D70" s="83" t="s">
        <v>1386</v>
      </c>
      <c r="E70" s="2"/>
      <c r="F70" s="2"/>
      <c r="G70" s="2"/>
      <c r="H70" s="2"/>
      <c r="I70" s="83" t="s">
        <v>1387</v>
      </c>
      <c r="J70" s="2"/>
    </row>
    <row r="71" customFormat="false" ht="22.35" hidden="false" customHeight="false" outlineLevel="0" collapsed="false">
      <c r="A71" s="2"/>
      <c r="B71" s="83" t="s">
        <v>1388</v>
      </c>
      <c r="C71" s="2"/>
      <c r="D71" s="83" t="s">
        <v>1389</v>
      </c>
      <c r="E71" s="2"/>
      <c r="F71" s="2"/>
      <c r="G71" s="2"/>
      <c r="H71" s="2"/>
      <c r="I71" s="83" t="s">
        <v>1390</v>
      </c>
      <c r="J71" s="2"/>
    </row>
    <row r="72" customFormat="false" ht="15" hidden="false" customHeight="false" outlineLevel="0" collapsed="false">
      <c r="A72" s="2"/>
      <c r="B72" s="83" t="s">
        <v>1391</v>
      </c>
      <c r="C72" s="2"/>
      <c r="D72" s="83" t="s">
        <v>1392</v>
      </c>
      <c r="E72" s="2"/>
      <c r="F72" s="2"/>
      <c r="G72" s="2"/>
      <c r="H72" s="2"/>
      <c r="I72" s="83" t="s">
        <v>1393</v>
      </c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4" t="s">
        <v>1394</v>
      </c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19" t="s">
        <v>1395</v>
      </c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19" t="s">
        <v>1396</v>
      </c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19" t="s">
        <v>1397</v>
      </c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19" t="s">
        <v>1398</v>
      </c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19" t="s">
        <v>1399</v>
      </c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19" t="s">
        <v>1400</v>
      </c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19" t="s">
        <v>1401</v>
      </c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19" t="s">
        <v>1402</v>
      </c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19" t="s">
        <v>1403</v>
      </c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19" t="s">
        <v>1404</v>
      </c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19" t="s">
        <v>1405</v>
      </c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19" t="s">
        <v>1406</v>
      </c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19" t="s">
        <v>1407</v>
      </c>
      <c r="B87" s="2"/>
      <c r="C87" s="2"/>
      <c r="D87" s="2"/>
      <c r="E87" s="2"/>
      <c r="F87" s="2"/>
      <c r="G87" s="2"/>
      <c r="H87" s="2"/>
      <c r="I87" s="2"/>
      <c r="J87" s="2"/>
    </row>
  </sheetData>
  <autoFilter ref="A3:J50"/>
  <hyperlinks>
    <hyperlink ref="D4" r:id="rId1" display="https://apisidra.ibge.gov.br/values/t/1846/n1/all/v/all/p/201901,201902,201903,201904,202501,202502,202503,202504/c11255/all"/>
    <hyperlink ref="D5" r:id="rId2" display="https://agenciadenoticias.ibge.gov.br/agencia-sala-de-imprensa/2013-agencia-de-noticias/releases/45968-pib-cresce-2-3-em-2025-e-fecha-o-ano-em-r-12-7-trilhoes"/>
    <hyperlink ref="D6" r:id="rId3" display="https://apisidra.ibge.gov.br/values/t/1737/n1/all/v/2266/p/201912,202512"/>
    <hyperlink ref="D7" r:id="rId4" display="https://www.tesourotransparente.gov.br/publicacoes/boletim-resultado-do-tesouro-nacional-rtn/2025/12"/>
    <hyperlink ref="D8" r:id="rId5" display="https://apidatalake.tesouro.gov.br/ords/siconfi/tt/rreo?an_exercicio={ano}&amp;nr_periodo=6&amp;co_tipo_demonstrativo=RREO&amp;no_anexo=RREO-Anexo%2001&amp;co_esfera=U&amp;id_ente=1"/>
    <hyperlink ref="D9" r:id="rId6" display="https://apidatalake.tesouro.gov.br/ords/siconfi/tt/rreo?an_exercicio={ano}&amp;nr_periodo=6&amp;co_tipo_demonstrativo=RREO&amp;no_anexo=RREO-Anexo%2002&amp;co_esfera=U&amp;id_ente=1"/>
    <hyperlink ref="D10" r:id="rId7" display="https://portaldatransparencia.gov.br/funcoes/10-saude?ano=2019"/>
    <hyperlink ref="D11" r:id="rId8" display="https://api.bcb.gov.br/dados/serie/bcdata.sgs.13761/dados?formato=json"/>
    <hyperlink ref="D12" r:id="rId9" display="https://agenciabrasil.ebc.com.br/economia/noticia/2020-01/contas-publicas-tem-deficit-primario-de-r-61872-bi-em-2019"/>
    <hyperlink ref="D13" r:id="rId10" display="https://www.poder360.com.br/poder-economia/juro-da-divida-bate-recorde-e-deficit-nominal-supera-r-1-trilhao/"/>
    <hyperlink ref="D14" r:id="rId11" display="https://www.gov.br/fazenda/pt-br/assuntos/noticias/2026/janeiro/divida-publica-encerra-2025-em-r-8-635-trilhoes-dentro-dos-limites-projetados-aponta-tesouro"/>
    <hyperlink ref="D15" r:id="rId12" display="https://www.gov.br/receitafederal/pt-br/assuntos/noticias/2026/janeiro/arrecadacao-de-receitas-federais-alcanca-r-2-886-trilhoes-em-2025"/>
    <hyperlink ref="D16" r:id="rId13" display="https://www.gov.br/economia/pt-br/assuntos/noticias/2020/julho/subsidios-concedidos-pela-uniao-atingem-r-348-3-bilhoes-em-2019"/>
    <hyperlink ref="D17" r:id="rId14" display="https://www12.senado.leg.br/orcamento/documentos/estudos/tipos-de-estudos/notas-tecnicas-e-informativos/notatecnicaconjunta_ploa-2026_.pdf"/>
    <hyperlink ref="D18" r:id="rId15" display="https://www.gov.br/trabalho-e-emprego/pt-br/noticias-e-conteudo/2026/janeiro/novo-caged-brasil-encerra-2025-com-saldo-positivo-de-1-27-milhao-de-empregos-formais"/>
    <hyperlink ref="D19" r:id="rId16" display="https://agenciabrasil.ebc.com.br/economia/noticia/2020-01/caged-pais-gerou-644-mil-novas-vagas-de-trabalho-em-2019"/>
    <hyperlink ref="D20" r:id="rId17" display="https://agenciadenoticias.ibge.gov.br/agencia-sala-de-imprensa/2013-agencia-de-noticias/releases/45759-pnad-continua-em-2025-taxa-anual-de-desocupacao-foi-de-5-6-enquanto-taxa-de-subutilizacao-foi-14-5"/>
    <hyperlink ref="D21" r:id="rId18" display="https://api-comexstat.mdic.gov.br/general"/>
    <hyperlink ref="D22" r:id="rId19" display="https://www.gov.br/mdic/pt-br/assuntos/noticias/2026/janeiro/exportacoes-brasileiras-alcancam-us-349-bi-em-2025-e-batem-recorde-historico"/>
    <hyperlink ref="D23" r:id="rId20" display="https://agenciabrasil.ebc.com.br/economia/noticia/2026-03/injecao-do-bndes-na-economia-equivale-r-1-bilhao-por-dia-em-2025"/>
    <hyperlink ref="D24" r:id="rId21" display="https://www.gov.br/agricultura/pt-br/assuntos/noticias/governo-federal-lanca-plano-safra-2025-2026-com-r-516-2-bilhoes-para-impulsionar-o-agro-brasileiro"/>
    <hyperlink ref="D25" r:id="rId22" display="https://api.worldbank.org/v2/country/BRA/indicator/GB.XPD.RSDV.GD.ZS?format=json&amp;date=2018:2024"/>
    <hyperlink ref="D26" r:id="rId23" display="https://agenciagov.ebc.com.br/noticias/202601/novo-pac-alcanca-execucao-orcamentaria-total-em-2025-e-consolida-desempenho-financeiro-expressivo"/>
    <hyperlink ref="D27" r:id="rId24" display="https://conjur.com.br/2026-abr-05/investimento-privado-na-infraestrutura-bate-recorde-em-2025/"/>
    <hyperlink ref="D28" r:id="rId25" display="https://almapreta.com.br/sessao/politica/governo-orcamento-igualdade-racial-monitoramento-desafio/"/>
    <hyperlink ref="D29" r:id="rId26" display="https://www.gov.br/mdic/pt-br/assuntos/noticias/2025/fevereiro/nib-completa-1-ano-com-r-3-4-trilhoes-de-investimentos-e-crescimento-industrial"/>
    <hyperlink ref="D30" r:id="rId27" display="https://www.poder360.com.br/poder-economia/investimento-direto-soma-us-777-bi-em-2025-maior-em-7-anos/"/>
    <hyperlink ref="D31" r:id="rId28" display="https://agenciabrasil.ebc.com.br/economia/noticia/2026-01/deficit-primario-do-governo-central-totaliza-r-617-bilhoes-em-2025"/>
    <hyperlink ref="D32" r:id="rId29" display="https://www.gov.br/receitafederal/pt-br/assuntos/noticias/2023/janeiro/arrecadacao-federal-alcanca-mais-de-r-2-21-trilhoes-no-acumulado-de-janeiro-a-dezembro-de-2022"/>
    <hyperlink ref="D33" r:id="rId30" display="https://agenciabrasil.ebc.com.br/economia/noticia/2017-01/divida-publica-federal-encerra-2016-em-r-3113-trilhoes"/>
    <hyperlink ref="D34" r:id="rId31" display="https://www.cnnbrasil.com.br/economia/seu-bolso/meu-dinheiro/setor-publico-consolidado-registra-superavit-de-r-126-bi-em-2022-aponta-bc/"/>
    <hyperlink ref="D35" r:id="rId32" display="https://www.bndes.gov.br/wps/portal/site/home/imprensa/noticias/conteudo/bndes-desembolsa-88-3-bilhoes-em-2016"/>
    <hyperlink ref="D36" r:id="rId33" display="https://agenciabrasil.ebc.com.br/economia/noticia/2023-01/dezembro-fecha-com-saldo-negativo-de-431011-empregos-diz-novo-caged"/>
    <hyperlink ref="D37" r:id="rId34" display="https://agenciadenoticias.ibge.gov.br/agencia-sala-de-imprensa/2013-agencia-de-noticias/releases/36336-pnad-continua-em-2022-taxa-media-anual-de-desocupacao-foi-de-9-3-enquanto-de-taxa-de-subutilizacao-foi-de-20-8"/>
    <hyperlink ref="D38" r:id="rId35" display="https://agenciabrasil.ebc.com.br/economia/noticia/2022-06/plano-safra-20222023-anuncia-r-3408-bilhoes-para-agropecuaria"/>
    <hyperlink ref="D39" r:id="rId36" display="https://www.gov.br/planejamento/pt-br/assuntos/noticias/2023/junho/subsidios-concedidos-pela-uniao-atingem-r-581-49-bilhoes-em-2022"/>
    <hyperlink ref="D40" r:id="rId37" display="https://diariodocomercio.com.br/economia/investimentos-privados-em-infraestrutura-somam-r-131-bi-no-pais/"/>
    <hyperlink ref="D41" r:id="rId38" display="https://agenciabrasil.ebc.com.br/economia/noticia/2023-01/governo-central-registra-superavit-de-r-54086-bi-em-2022"/>
    <hyperlink ref="D42" r:id="rId39" display="https://www2.senado.leg.br/bdsf/bitstream/handle/id/50561/noticia.htm?sequence=1&amp;isAllowed=y"/>
    <hyperlink ref="D43" r:id="rId40" display="https://portaldatransparencia.gov.br/programas-e-acoes/acao/8442?ano=2025"/>
    <hyperlink ref="D44" r:id="rId41" display="https://www.tesourotransparente.gov.br/publicacoes/boletim-resultado-do-tesouro-nacional-rtn/2025/12"/>
    <hyperlink ref="D45" r:id="rId42" display="https://www.gov.br/mds/pt-br/noticias-e-conteudos/desenvolvimento-social/noticias-desenvolvimento-social/em-novo-recorde-mais-de-21-6-milhoes-de-familias-recebem-o-auxilio-brasil-em-dezembro"/>
    <hyperlink ref="D46" r:id="rId43" display="https://www.gazetadopovo.com.br/republica/governo-novo-vale-gas-custo-2-6-bilhoes-em-2025/"/>
    <hyperlink ref="D47" r:id="rId44" display="https://www12.senado.leg.br/radio/1/noticia/2025/02/13/tcu-libera-retomada-do-programa-pe-de-meia-incentivo-a-conclusao-do-ensino-medio"/>
    <hyperlink ref="D48" r:id="rId45" display="https://www.gov.br/fnde/pt-br/acesso-a-informacao/acoes-e-programas/programas/pnae/consultas/pnae-dados-fisicos-e-financeiros-do-pnae"/>
    <hyperlink ref="D49" r:id="rId46" display="https://www2.camara.leg.br/orcamento-da-uniao/estudos/2021/NT26_2021PSOLUniversidadesFieseProuni.pdf"/>
    <hyperlink ref="D50" r:id="rId47" display="https://www.gov.br/receitafederal/pt-br/centrais-de-conteudo/publicacoes/relatorios/renuncia/gastos-tributarios-bases-efetiv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2026-09-23T01:32:39Z</dcterms:created>
  <dc:creator>openpyxl</dc:creator>
  <dc:description/>
  <dc:language>pt-BR</dc:language>
  <cp:lastModifiedBy/>
  <dcterms:modified xsi:type="dcterms:W3CDTF">2026-09-23T01:32:40Z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