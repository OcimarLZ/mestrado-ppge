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6E70AE35-F0D7-4F13-8F02-45313C6E11C9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dado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71" i="1" l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<sst xmlns="http://schemas.openxmlformats.org/spreadsheetml/2006/main" count="365" uniqueCount="122">
  <si>
    <t>Licenciaturas</t>
  </si>
  <si>
    <t>EaD</t>
  </si>
  <si>
    <t>UAB</t>
  </si>
  <si>
    <t>Matrículas</t>
  </si>
  <si>
    <t>IES</t>
  </si>
  <si>
    <t>UF</t>
  </si>
  <si>
    <t>Lic.2024</t>
  </si>
  <si>
    <t>Campi</t>
  </si>
  <si>
    <t>Cursos</t>
  </si>
  <si>
    <t>Situação</t>
  </si>
  <si>
    <t>Polos</t>
  </si>
  <si>
    <t>Geral</t>
  </si>
  <si>
    <t>%Lic</t>
  </si>
  <si>
    <t>EaD Própria</t>
  </si>
  <si>
    <t>EaD UAB</t>
  </si>
  <si>
    <t>UFGD</t>
  </si>
  <si>
    <t>MS</t>
  </si>
  <si>
    <t>Sim</t>
  </si>
  <si>
    <t>Até 2021</t>
  </si>
  <si>
    <t>UFCSPA</t>
  </si>
  <si>
    <t>RS</t>
  </si>
  <si>
    <t>Não</t>
  </si>
  <si>
    <t>Inativa</t>
  </si>
  <si>
    <t>UNIR</t>
  </si>
  <si>
    <t>RO</t>
  </si>
  <si>
    <t>Ativa</t>
  </si>
  <si>
    <t>UFABC</t>
  </si>
  <si>
    <t>SP</t>
  </si>
  <si>
    <t>UNIPAMPA</t>
  </si>
  <si>
    <t>Até 2023</t>
  </si>
  <si>
    <t>UFT</t>
  </si>
  <si>
    <t>TO</t>
  </si>
  <si>
    <t>UNIVASF</t>
  </si>
  <si>
    <t>PE</t>
  </si>
  <si>
    <t>UNILAB</t>
  </si>
  <si>
    <t>CE</t>
  </si>
  <si>
    <t>UNB</t>
  </si>
  <si>
    <t>DF</t>
  </si>
  <si>
    <t>UFBA</t>
  </si>
  <si>
    <t>BA</t>
  </si>
  <si>
    <t>UFFS</t>
  </si>
  <si>
    <t>SC</t>
  </si>
  <si>
    <t>UNILA</t>
  </si>
  <si>
    <t>PR</t>
  </si>
  <si>
    <t>UFPB</t>
  </si>
  <si>
    <t>PB</t>
  </si>
  <si>
    <t>UFAL</t>
  </si>
  <si>
    <t>AL</t>
  </si>
  <si>
    <t>UNIFAL</t>
  </si>
  <si>
    <t>MG</t>
  </si>
  <si>
    <t>Até 2022</t>
  </si>
  <si>
    <t>Até 2013</t>
  </si>
  <si>
    <t>UFCG</t>
  </si>
  <si>
    <t>UFCAT</t>
  </si>
  <si>
    <t>GO</t>
  </si>
  <si>
    <t>UFG</t>
  </si>
  <si>
    <t>UNIFEI</t>
  </si>
  <si>
    <t>UFJ</t>
  </si>
  <si>
    <t>UFJF</t>
  </si>
  <si>
    <t>UFLA</t>
  </si>
  <si>
    <t>UFMT</t>
  </si>
  <si>
    <t>MT</t>
  </si>
  <si>
    <t>UFMS</t>
  </si>
  <si>
    <t>UFMG</t>
  </si>
  <si>
    <t>Até 2018</t>
  </si>
  <si>
    <t>UFOP</t>
  </si>
  <si>
    <t>UFPEL</t>
  </si>
  <si>
    <t>UFPE</t>
  </si>
  <si>
    <t>UFR</t>
  </si>
  <si>
    <t>UFRR</t>
  </si>
  <si>
    <t>RR</t>
  </si>
  <si>
    <t>UFSC</t>
  </si>
  <si>
    <t>UFSM</t>
  </si>
  <si>
    <t>UFSCAR</t>
  </si>
  <si>
    <t>UFSJ</t>
  </si>
  <si>
    <t>UNIFESP</t>
  </si>
  <si>
    <t>UFS</t>
  </si>
  <si>
    <t>SE</t>
  </si>
  <si>
    <t>UFU</t>
  </si>
  <si>
    <t>UFV</t>
  </si>
  <si>
    <t>Até 2016</t>
  </si>
  <si>
    <t>UFAC</t>
  </si>
  <si>
    <t>AC</t>
  </si>
  <si>
    <t>UFAPE</t>
  </si>
  <si>
    <t>UNIFAP</t>
  </si>
  <si>
    <t>AP</t>
  </si>
  <si>
    <t>UFAM</t>
  </si>
  <si>
    <t>AM</t>
  </si>
  <si>
    <t>UFCA</t>
  </si>
  <si>
    <t>UFC</t>
  </si>
  <si>
    <t>Até 2020</t>
  </si>
  <si>
    <t>UFDPAR</t>
  </si>
  <si>
    <t>PI</t>
  </si>
  <si>
    <t>UFES</t>
  </si>
  <si>
    <t>ES</t>
  </si>
  <si>
    <t>UNIRIO</t>
  </si>
  <si>
    <t>RJ</t>
  </si>
  <si>
    <t>UFMA</t>
  </si>
  <si>
    <t>MA</t>
  </si>
  <si>
    <t>UFNT</t>
  </si>
  <si>
    <t>UFOB</t>
  </si>
  <si>
    <t>UFOPA</t>
  </si>
  <si>
    <t>PA</t>
  </si>
  <si>
    <t>UFPA</t>
  </si>
  <si>
    <t>UFPR</t>
  </si>
  <si>
    <t>UFPI</t>
  </si>
  <si>
    <t>UFRB</t>
  </si>
  <si>
    <t>UFRJ</t>
  </si>
  <si>
    <t>FURG</t>
  </si>
  <si>
    <t>UFRN</t>
  </si>
  <si>
    <t>RN</t>
  </si>
  <si>
    <t>UFRGS</t>
  </si>
  <si>
    <t>UFSB</t>
  </si>
  <si>
    <t>UNIFESSPA</t>
  </si>
  <si>
    <t>UFTM</t>
  </si>
  <si>
    <t>UFVJM</t>
  </si>
  <si>
    <t>UFF</t>
  </si>
  <si>
    <t>UFRA</t>
  </si>
  <si>
    <t>UFRPE</t>
  </si>
  <si>
    <t>UFRRJ</t>
  </si>
  <si>
    <t>UFERSA</t>
  </si>
  <si>
    <t>UTFPR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</si>
</sst>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3" x14ac:knownFonts="1">
    <font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E8F2A1"/>
        <bgColor rgb="FFFFE994"/>
      </patternFill>
    </fill>
    <fill>
      <patternFill patternType="solid">
        <fgColor rgb="FFFFE994"/>
        <bgColor rgb="FFE8F2A1"/>
      </patternFill>
    </fill>
    <fill>
      <patternFill patternType="solid">
        <fgColor rgb="FFACB20C"/>
        <bgColor rgb="FF808000"/>
      </patternFill>
    </fill>
    <fill>
      <patternFill patternType="solid">
        <fgColor rgb="FFFFD8CE"/>
        <bgColor rgb="FFDDDDDD"/>
      </patternFill>
    </fill>
    <fill>
      <patternFill patternType="solid">
        <fgColor rgb="FFDDDDDD"/>
        <bgColor rgb="FFFFD8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Border="0" applyProtection="0"/>
  </cellStyleXfs>
  <cellXfs count="13">
    <xf numFmtId="0" fontId="0" fillId="0" borderId="0" xfId="0"/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right"/>
    </xf>
    <xf numFmtId="165" fontId="1" fillId="0" borderId="0" xfId="1" applyNumberFormat="1" applyFont="1" applyBorder="1" applyProtection="1"/>
    <xf numFmtId="3" fontId="1" fillId="0" borderId="0" xfId="0" applyNumberFormat="1" applyFont="1"/>
    <xf numFmtId="10" fontId="1" fillId="0" borderId="0" xfId="0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994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D8CE"/>
      <rgbColor rgb="FF3366FF"/>
      <rgbColor rgb="FF33CCCC"/>
      <rgbColor rgb="FFACB20C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tabSelected="1" zoomScaleNormal="100" workbookViewId="0">
      <selection activeCell="I2" sqref="I2"/>
    </sheetView>
  </sheetViews>
  <sheetFormatPr defaultColWidth="8.7109375" defaultRowHeight="15" x14ac:dyDescent="0.25"/>
  <cols>
    <col min="1" max="1" width="11.42578125" customWidth="1"/>
    <col min="2" max="2" width="4.5703125" customWidth="1"/>
    <col min="3" max="3" width="8.7109375" style="6"/>
    <col min="4" max="4" width="6.5703125" style="6" customWidth="1"/>
    <col min="5" max="5" width="6.85546875" style="6" customWidth="1"/>
    <col min="6" max="6" width="8.5703125" style="6" bestFit="1" customWidth="1"/>
    <col min="7" max="7" width="6" style="6" customWidth="1"/>
    <col min="8" max="8" width="7" style="6" customWidth="1"/>
    <col min="9" max="9" width="8.7109375" style="6"/>
    <col min="10" max="10" width="5.85546875" style="6" bestFit="1" customWidth="1"/>
    <col min="11" max="11" width="6.85546875" style="6" bestFit="1" customWidth="1"/>
    <col min="12" max="12" width="6.85546875" bestFit="1" customWidth="1"/>
    <col min="13" max="13" width="12.42578125" bestFit="1" customWidth="1"/>
    <col min="14" max="14" width="6.42578125" bestFit="1" customWidth="1"/>
    <col min="15" max="15" width="11.28515625" customWidth="1"/>
    <col min="16384" max="16384" width="11.5703125" customWidth="1"/>
  </cols>
  <sheetData>
    <row r="1" spans="1:16" x14ac:dyDescent="0.25">
      <c r="A1" s="5"/>
      <c r="B1" s="5"/>
      <c r="C1" s="4" t="s">
        <v>0</v>
      </c>
      <c r="D1" s="4"/>
      <c r="E1" s="4"/>
      <c r="F1" s="3" t="s">
        <v>1</v>
      </c>
      <c r="G1" s="3"/>
      <c r="H1" s="3"/>
      <c r="I1" s="2" t="s">
        <v>2</v>
      </c>
      <c r="J1" s="2"/>
      <c r="K1" s="2"/>
      <c r="L1" s="1" t="s">
        <v>3</v>
      </c>
      <c r="M1" s="1"/>
      <c r="N1" s="1"/>
      <c r="O1" s="1"/>
      <c r="P1" s="1"/>
    </row>
    <row r="2" spans="1:16" x14ac:dyDescent="0.25">
      <c r="A2" s="7" t="s">
        <v>4</v>
      </c>
      <c r="B2" s="7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8</v>
      </c>
      <c r="I2" s="8" t="s">
        <v>9</v>
      </c>
      <c r="J2" s="8" t="s">
        <v>10</v>
      </c>
      <c r="K2" s="8" t="s">
        <v>8</v>
      </c>
      <c r="L2" s="9" t="s">
        <v>11</v>
      </c>
      <c r="M2" s="9" t="s">
        <v>0</v>
      </c>
      <c r="N2" s="9" t="s">
        <v>12</v>
      </c>
      <c r="O2" s="9" t="s">
        <v>13</v>
      </c>
      <c r="P2" s="9" t="s">
        <v>14</v>
      </c>
    </row>
    <row r="3" spans="1:16" x14ac:dyDescent="0.25">
      <c r="A3" t="s">
        <v>15</v>
      </c>
      <c r="B3" t="s">
        <v>16</v>
      </c>
      <c r="C3" s="6" t="s">
        <v>17</v>
      </c>
      <c r="D3" s="6">
        <v>1</v>
      </c>
      <c r="E3" s="6">
        <v>14</v>
      </c>
      <c r="F3" s="6" t="s">
        <v>17</v>
      </c>
      <c r="G3" s="6">
        <v>11</v>
      </c>
      <c r="H3" s="6">
        <v>4</v>
      </c>
      <c r="I3" s="6" t="s">
        <v>18</v>
      </c>
      <c r="J3" s="6">
        <v>10</v>
      </c>
      <c r="K3" s="6">
        <v>3</v>
      </c>
      <c r="L3" s="10">
        <v>6076</v>
      </c>
      <c r="M3" s="11">
        <v>1590</v>
      </c>
      <c r="N3" s="12">
        <f t="shared" ref="N3:N34" si="0">M3/L3</f>
        <v>0.2616853192890059</v>
      </c>
    </row>
    <row r="4" spans="1:16" x14ac:dyDescent="0.25">
      <c r="A4" t="s">
        <v>19</v>
      </c>
      <c r="B4" t="s">
        <v>20</v>
      </c>
      <c r="C4" s="6" t="s">
        <v>21</v>
      </c>
      <c r="D4" s="6">
        <v>0</v>
      </c>
      <c r="E4" s="6">
        <v>0</v>
      </c>
      <c r="F4" s="6" t="s">
        <v>21</v>
      </c>
      <c r="G4" s="6">
        <v>0</v>
      </c>
      <c r="H4" s="6">
        <v>0</v>
      </c>
      <c r="I4" s="6" t="s">
        <v>22</v>
      </c>
      <c r="J4" s="6">
        <v>0</v>
      </c>
      <c r="K4" s="6">
        <v>0</v>
      </c>
      <c r="L4" s="10">
        <v>2889</v>
      </c>
      <c r="M4" s="11">
        <v>0</v>
      </c>
      <c r="N4" s="12">
        <f t="shared" si="0"/>
        <v>0</v>
      </c>
    </row>
    <row r="5" spans="1:16" x14ac:dyDescent="0.25">
      <c r="A5" t="s">
        <v>23</v>
      </c>
      <c r="B5" t="s">
        <v>24</v>
      </c>
      <c r="C5" s="6" t="s">
        <v>17</v>
      </c>
      <c r="D5" s="6">
        <v>6</v>
      </c>
      <c r="E5" s="6">
        <v>30</v>
      </c>
      <c r="F5" s="6" t="s">
        <v>17</v>
      </c>
      <c r="G5" s="6">
        <v>5</v>
      </c>
      <c r="H5" s="6">
        <v>2</v>
      </c>
      <c r="I5" s="6" t="s">
        <v>25</v>
      </c>
      <c r="J5" s="6">
        <v>6</v>
      </c>
      <c r="K5" s="6">
        <v>1</v>
      </c>
      <c r="L5" s="10">
        <v>6131</v>
      </c>
      <c r="M5" s="11">
        <v>2434</v>
      </c>
      <c r="N5" s="12">
        <f t="shared" si="0"/>
        <v>0.39699885826129505</v>
      </c>
    </row>
    <row r="6" spans="1:16" x14ac:dyDescent="0.25">
      <c r="A6" t="s">
        <v>26</v>
      </c>
      <c r="B6" t="s">
        <v>27</v>
      </c>
      <c r="C6" s="6" t="s">
        <v>17</v>
      </c>
      <c r="D6" s="6">
        <v>2</v>
      </c>
      <c r="E6" s="6">
        <v>8</v>
      </c>
      <c r="F6" s="6" t="s">
        <v>21</v>
      </c>
      <c r="G6" s="6">
        <v>0</v>
      </c>
      <c r="H6" s="6">
        <v>0</v>
      </c>
      <c r="I6" s="6" t="s">
        <v>22</v>
      </c>
      <c r="J6" s="6">
        <v>0</v>
      </c>
      <c r="K6" s="6">
        <v>0</v>
      </c>
      <c r="L6" s="10">
        <v>15412</v>
      </c>
      <c r="M6" s="11">
        <v>1006</v>
      </c>
      <c r="N6" s="12">
        <f t="shared" si="0"/>
        <v>6.527381261354788E-2</v>
      </c>
    </row>
    <row r="7" spans="1:16" x14ac:dyDescent="0.25">
      <c r="A7" t="s">
        <v>28</v>
      </c>
      <c r="B7" t="s">
        <v>20</v>
      </c>
      <c r="C7" s="6" t="s">
        <v>17</v>
      </c>
      <c r="D7" s="6">
        <v>8</v>
      </c>
      <c r="E7" s="6">
        <v>19</v>
      </c>
      <c r="F7" s="6" t="s">
        <v>17</v>
      </c>
      <c r="G7" s="6">
        <v>33</v>
      </c>
      <c r="H7" s="6">
        <v>5</v>
      </c>
      <c r="I7" s="6" t="s">
        <v>29</v>
      </c>
      <c r="J7" s="6">
        <v>13</v>
      </c>
      <c r="K7" s="6">
        <v>3</v>
      </c>
      <c r="L7" s="10">
        <v>8639</v>
      </c>
      <c r="M7" s="11">
        <v>2579</v>
      </c>
      <c r="N7" s="12">
        <f t="shared" si="0"/>
        <v>0.29852992244472742</v>
      </c>
    </row>
    <row r="8" spans="1:16" x14ac:dyDescent="0.25">
      <c r="A8" t="s">
        <v>30</v>
      </c>
      <c r="B8" t="s">
        <v>31</v>
      </c>
      <c r="C8" s="6" t="s">
        <v>17</v>
      </c>
      <c r="D8" s="6">
        <v>5</v>
      </c>
      <c r="E8" s="6">
        <v>18</v>
      </c>
      <c r="F8" s="6" t="s">
        <v>17</v>
      </c>
      <c r="G8" s="6">
        <v>18</v>
      </c>
      <c r="H8" s="6">
        <v>6</v>
      </c>
      <c r="I8" s="6" t="s">
        <v>29</v>
      </c>
      <c r="J8" s="6">
        <v>5</v>
      </c>
      <c r="K8" s="6">
        <v>1</v>
      </c>
      <c r="L8" s="10">
        <v>10104</v>
      </c>
      <c r="M8" s="11">
        <v>3530</v>
      </c>
      <c r="N8" s="12">
        <f t="shared" si="0"/>
        <v>0.34936658749010291</v>
      </c>
    </row>
    <row r="9" spans="1:16" x14ac:dyDescent="0.25">
      <c r="A9" t="s">
        <v>32</v>
      </c>
      <c r="B9" t="s">
        <v>33</v>
      </c>
      <c r="C9" s="6" t="s">
        <v>17</v>
      </c>
      <c r="D9" s="6">
        <v>4</v>
      </c>
      <c r="E9" s="6">
        <v>10</v>
      </c>
      <c r="F9" s="6" t="s">
        <v>17</v>
      </c>
      <c r="G9" s="6">
        <v>16</v>
      </c>
      <c r="H9" s="6">
        <v>5</v>
      </c>
      <c r="I9" s="6" t="s">
        <v>25</v>
      </c>
      <c r="J9" s="6">
        <v>15</v>
      </c>
      <c r="K9" s="6">
        <v>4</v>
      </c>
      <c r="L9" s="10">
        <v>2128</v>
      </c>
      <c r="M9" s="11">
        <v>1237</v>
      </c>
      <c r="N9" s="12">
        <f t="shared" si="0"/>
        <v>0.58129699248120303</v>
      </c>
    </row>
    <row r="10" spans="1:16" x14ac:dyDescent="0.25">
      <c r="A10" t="s">
        <v>34</v>
      </c>
      <c r="B10" t="s">
        <v>35</v>
      </c>
      <c r="C10" s="6" t="s">
        <v>17</v>
      </c>
      <c r="D10" s="6">
        <v>2</v>
      </c>
      <c r="E10" s="6">
        <v>15</v>
      </c>
      <c r="F10" s="6" t="s">
        <v>17</v>
      </c>
      <c r="G10" s="6">
        <v>12</v>
      </c>
      <c r="H10" s="6">
        <v>3</v>
      </c>
      <c r="I10" s="6" t="s">
        <v>25</v>
      </c>
      <c r="J10" s="6">
        <v>1</v>
      </c>
      <c r="K10" s="6">
        <v>1</v>
      </c>
      <c r="L10" s="10">
        <v>4958</v>
      </c>
      <c r="M10" s="11">
        <v>2126</v>
      </c>
      <c r="N10" s="12">
        <f t="shared" si="0"/>
        <v>0.42880193626462282</v>
      </c>
    </row>
    <row r="11" spans="1:16" x14ac:dyDescent="0.25">
      <c r="A11" t="s">
        <v>36</v>
      </c>
      <c r="B11" t="s">
        <v>37</v>
      </c>
      <c r="C11" s="6" t="s">
        <v>17</v>
      </c>
      <c r="D11" s="6">
        <v>1</v>
      </c>
      <c r="E11" s="6">
        <v>33</v>
      </c>
      <c r="F11" s="6" t="s">
        <v>17</v>
      </c>
      <c r="G11" s="6">
        <v>27</v>
      </c>
      <c r="H11" s="6">
        <v>8</v>
      </c>
      <c r="I11" s="6" t="s">
        <v>29</v>
      </c>
      <c r="J11" s="6">
        <v>24</v>
      </c>
      <c r="K11" s="6">
        <v>5</v>
      </c>
      <c r="L11" s="10">
        <v>39509</v>
      </c>
      <c r="M11" s="11">
        <v>8115</v>
      </c>
      <c r="N11" s="12">
        <f t="shared" si="0"/>
        <v>0.20539623883165861</v>
      </c>
    </row>
    <row r="12" spans="1:16" x14ac:dyDescent="0.25">
      <c r="A12" t="s">
        <v>38</v>
      </c>
      <c r="B12" t="s">
        <v>39</v>
      </c>
      <c r="C12" s="6" t="s">
        <v>17</v>
      </c>
      <c r="D12" s="6">
        <v>1</v>
      </c>
      <c r="E12" s="6">
        <v>22</v>
      </c>
      <c r="F12" s="6" t="s">
        <v>17</v>
      </c>
      <c r="G12" s="6">
        <v>28</v>
      </c>
      <c r="H12" s="6">
        <v>5</v>
      </c>
      <c r="I12" s="6" t="s">
        <v>29</v>
      </c>
      <c r="J12" s="6">
        <v>13</v>
      </c>
      <c r="K12" s="6">
        <v>3</v>
      </c>
      <c r="L12" s="10">
        <v>29457</v>
      </c>
      <c r="M12" s="11">
        <v>3214</v>
      </c>
      <c r="N12" s="12">
        <f t="shared" si="0"/>
        <v>0.10910819160131717</v>
      </c>
    </row>
    <row r="13" spans="1:16" x14ac:dyDescent="0.25">
      <c r="A13" t="s">
        <v>40</v>
      </c>
      <c r="B13" t="s">
        <v>41</v>
      </c>
      <c r="C13" s="6" t="s">
        <v>17</v>
      </c>
      <c r="D13" s="6">
        <v>5</v>
      </c>
      <c r="E13" s="6">
        <v>31</v>
      </c>
      <c r="F13" s="6" t="s">
        <v>21</v>
      </c>
      <c r="G13" s="6">
        <v>0</v>
      </c>
      <c r="H13" s="6">
        <v>0</v>
      </c>
      <c r="I13" s="6" t="s">
        <v>22</v>
      </c>
      <c r="J13" s="6">
        <v>0</v>
      </c>
      <c r="K13" s="6">
        <v>0</v>
      </c>
      <c r="L13" s="10">
        <v>6038</v>
      </c>
      <c r="M13" s="11">
        <v>2239</v>
      </c>
      <c r="N13" s="12">
        <f t="shared" si="0"/>
        <v>0.37081815170586285</v>
      </c>
    </row>
    <row r="14" spans="1:16" x14ac:dyDescent="0.25">
      <c r="A14" t="s">
        <v>42</v>
      </c>
      <c r="B14" t="s">
        <v>43</v>
      </c>
      <c r="C14" s="6" t="s">
        <v>17</v>
      </c>
      <c r="D14" s="6">
        <v>1</v>
      </c>
      <c r="E14" s="6">
        <v>8</v>
      </c>
      <c r="F14" s="6" t="s">
        <v>21</v>
      </c>
      <c r="G14" s="6">
        <v>0</v>
      </c>
      <c r="H14" s="6">
        <v>0</v>
      </c>
      <c r="I14" s="6" t="s">
        <v>22</v>
      </c>
      <c r="J14" s="6">
        <v>0</v>
      </c>
      <c r="K14" s="6">
        <v>0</v>
      </c>
      <c r="L14" s="10">
        <v>3377</v>
      </c>
      <c r="M14" s="11">
        <v>529</v>
      </c>
      <c r="N14" s="12">
        <f t="shared" si="0"/>
        <v>0.15664791234823808</v>
      </c>
    </row>
    <row r="15" spans="1:16" x14ac:dyDescent="0.25">
      <c r="A15" t="s">
        <v>44</v>
      </c>
      <c r="B15" t="s">
        <v>45</v>
      </c>
      <c r="C15" s="6" t="s">
        <v>17</v>
      </c>
      <c r="D15" s="6">
        <v>5</v>
      </c>
      <c r="E15" s="6">
        <v>30</v>
      </c>
      <c r="F15" s="6" t="s">
        <v>17</v>
      </c>
      <c r="G15" s="6">
        <v>24</v>
      </c>
      <c r="H15" s="6">
        <v>9</v>
      </c>
      <c r="I15" s="6" t="s">
        <v>29</v>
      </c>
      <c r="J15" s="6">
        <v>13</v>
      </c>
      <c r="K15" s="6">
        <v>7</v>
      </c>
      <c r="L15" s="10">
        <v>27958</v>
      </c>
      <c r="M15" s="11">
        <v>7339</v>
      </c>
      <c r="N15" s="12">
        <f t="shared" si="0"/>
        <v>0.26250089419844053</v>
      </c>
    </row>
    <row r="16" spans="1:16" x14ac:dyDescent="0.25">
      <c r="A16" t="s">
        <v>46</v>
      </c>
      <c r="B16" t="s">
        <v>47</v>
      </c>
      <c r="C16" s="6" t="s">
        <v>17</v>
      </c>
      <c r="D16" s="6">
        <v>4</v>
      </c>
      <c r="E16" s="6">
        <v>33</v>
      </c>
      <c r="F16" s="6" t="s">
        <v>17</v>
      </c>
      <c r="G16" s="6">
        <v>10</v>
      </c>
      <c r="H16" s="6">
        <v>6</v>
      </c>
      <c r="I16" s="6" t="s">
        <v>25</v>
      </c>
      <c r="J16" s="6">
        <v>11</v>
      </c>
      <c r="K16" s="6">
        <v>3</v>
      </c>
      <c r="L16" s="10">
        <v>23894</v>
      </c>
      <c r="M16" s="11">
        <v>8158</v>
      </c>
      <c r="N16" s="12">
        <f t="shared" si="0"/>
        <v>0.341424625428978</v>
      </c>
    </row>
    <row r="17" spans="1:14" x14ac:dyDescent="0.25">
      <c r="A17" t="s">
        <v>48</v>
      </c>
      <c r="B17" t="s">
        <v>49</v>
      </c>
      <c r="C17" s="6" t="s">
        <v>17</v>
      </c>
      <c r="D17" s="6">
        <v>1</v>
      </c>
      <c r="E17" s="6">
        <v>12</v>
      </c>
      <c r="F17" s="6" t="s">
        <v>50</v>
      </c>
      <c r="G17" s="6">
        <v>4</v>
      </c>
      <c r="H17" s="6">
        <v>3</v>
      </c>
      <c r="I17" s="6" t="s">
        <v>51</v>
      </c>
      <c r="J17" s="6">
        <v>6</v>
      </c>
      <c r="K17" s="6">
        <v>2</v>
      </c>
      <c r="L17" s="10">
        <v>6044</v>
      </c>
      <c r="M17" s="11">
        <v>878</v>
      </c>
      <c r="N17" s="12">
        <f t="shared" si="0"/>
        <v>0.14526803441429517</v>
      </c>
    </row>
    <row r="18" spans="1:14" x14ac:dyDescent="0.25">
      <c r="A18" t="s">
        <v>52</v>
      </c>
      <c r="B18" t="s">
        <v>45</v>
      </c>
      <c r="C18" s="6" t="s">
        <v>17</v>
      </c>
      <c r="D18" s="6">
        <v>5</v>
      </c>
      <c r="E18" s="6">
        <v>29</v>
      </c>
      <c r="F18" s="6" t="s">
        <v>21</v>
      </c>
      <c r="G18" s="6">
        <v>0</v>
      </c>
      <c r="H18" s="6">
        <v>0</v>
      </c>
      <c r="I18" s="6" t="s">
        <v>22</v>
      </c>
      <c r="J18" s="6">
        <v>0</v>
      </c>
      <c r="K18" s="6">
        <v>0</v>
      </c>
      <c r="L18" s="10">
        <v>14135</v>
      </c>
      <c r="M18" s="11">
        <v>4239</v>
      </c>
      <c r="N18" s="12">
        <f t="shared" si="0"/>
        <v>0.29989388043862752</v>
      </c>
    </row>
    <row r="19" spans="1:14" x14ac:dyDescent="0.25">
      <c r="A19" t="s">
        <v>53</v>
      </c>
      <c r="B19" t="s">
        <v>54</v>
      </c>
      <c r="C19" s="6" t="s">
        <v>17</v>
      </c>
      <c r="D19" s="6">
        <v>1</v>
      </c>
      <c r="E19" s="6">
        <v>13</v>
      </c>
      <c r="F19" s="6" t="s">
        <v>17</v>
      </c>
      <c r="G19" s="6">
        <v>10</v>
      </c>
      <c r="H19" s="6">
        <v>1</v>
      </c>
      <c r="I19" s="6" t="s">
        <v>25</v>
      </c>
      <c r="J19" s="6">
        <v>6</v>
      </c>
      <c r="K19" s="6">
        <v>1</v>
      </c>
      <c r="L19" s="10">
        <v>2907</v>
      </c>
      <c r="M19" s="11">
        <v>1077</v>
      </c>
      <c r="N19" s="12">
        <f t="shared" si="0"/>
        <v>0.37048503611971106</v>
      </c>
    </row>
    <row r="20" spans="1:14" x14ac:dyDescent="0.25">
      <c r="A20" t="s">
        <v>55</v>
      </c>
      <c r="B20" t="s">
        <v>54</v>
      </c>
      <c r="C20" s="6" t="s">
        <v>17</v>
      </c>
      <c r="D20" s="6">
        <v>2</v>
      </c>
      <c r="E20" s="6">
        <v>28</v>
      </c>
      <c r="F20" s="6" t="s">
        <v>17</v>
      </c>
      <c r="G20" s="6">
        <v>6</v>
      </c>
      <c r="H20" s="6">
        <v>3</v>
      </c>
      <c r="I20" s="6" t="s">
        <v>25</v>
      </c>
      <c r="J20" s="6">
        <v>5</v>
      </c>
      <c r="K20" s="6">
        <v>1</v>
      </c>
      <c r="L20" s="10">
        <v>17877</v>
      </c>
      <c r="M20" s="11">
        <v>3610</v>
      </c>
      <c r="N20" s="12">
        <f t="shared" si="0"/>
        <v>0.20193544778206635</v>
      </c>
    </row>
    <row r="21" spans="1:14" x14ac:dyDescent="0.25">
      <c r="A21" t="s">
        <v>56</v>
      </c>
      <c r="B21" t="s">
        <v>49</v>
      </c>
      <c r="C21" s="6" t="s">
        <v>17</v>
      </c>
      <c r="D21" s="6">
        <v>1</v>
      </c>
      <c r="E21" s="6">
        <v>4</v>
      </c>
      <c r="F21" s="6" t="s">
        <v>17</v>
      </c>
      <c r="G21" s="6">
        <v>8</v>
      </c>
      <c r="H21" s="6">
        <v>1</v>
      </c>
      <c r="I21" s="6" t="s">
        <v>50</v>
      </c>
      <c r="J21" s="6">
        <v>5</v>
      </c>
      <c r="K21" s="6">
        <v>1</v>
      </c>
      <c r="L21" s="10">
        <v>6582</v>
      </c>
      <c r="M21" s="11">
        <v>343</v>
      </c>
      <c r="N21" s="12">
        <f t="shared" si="0"/>
        <v>5.2111820115466424E-2</v>
      </c>
    </row>
    <row r="22" spans="1:14" x14ac:dyDescent="0.25">
      <c r="A22" t="s">
        <v>57</v>
      </c>
      <c r="B22" t="s">
        <v>54</v>
      </c>
      <c r="C22" s="6" t="s">
        <v>17</v>
      </c>
      <c r="D22" s="6">
        <v>1</v>
      </c>
      <c r="E22" s="6">
        <v>10</v>
      </c>
      <c r="F22" s="6" t="s">
        <v>21</v>
      </c>
      <c r="G22" s="6">
        <v>0</v>
      </c>
      <c r="H22" s="6">
        <v>0</v>
      </c>
      <c r="I22" s="6" t="s">
        <v>22</v>
      </c>
      <c r="J22" s="6">
        <v>0</v>
      </c>
      <c r="K22" s="6">
        <v>0</v>
      </c>
      <c r="L22" s="10">
        <v>3045</v>
      </c>
      <c r="M22" s="11">
        <v>558</v>
      </c>
      <c r="N22" s="12">
        <f t="shared" si="0"/>
        <v>0.18325123152709361</v>
      </c>
    </row>
    <row r="23" spans="1:14" x14ac:dyDescent="0.25">
      <c r="A23" t="s">
        <v>58</v>
      </c>
      <c r="B23" t="s">
        <v>49</v>
      </c>
      <c r="C23" s="6" t="s">
        <v>17</v>
      </c>
      <c r="D23" s="6">
        <v>1</v>
      </c>
      <c r="E23" s="6">
        <v>20</v>
      </c>
      <c r="F23" s="6" t="s">
        <v>17</v>
      </c>
      <c r="G23" s="6">
        <v>30</v>
      </c>
      <c r="H23" s="6">
        <v>6</v>
      </c>
      <c r="I23" s="6" t="s">
        <v>25</v>
      </c>
      <c r="J23" s="6">
        <v>20</v>
      </c>
      <c r="K23" s="6">
        <v>6</v>
      </c>
      <c r="L23" s="10">
        <v>19145</v>
      </c>
      <c r="M23" s="11">
        <v>2724</v>
      </c>
      <c r="N23" s="12">
        <f t="shared" si="0"/>
        <v>0.14228258030817445</v>
      </c>
    </row>
    <row r="24" spans="1:14" x14ac:dyDescent="0.25">
      <c r="A24" t="s">
        <v>59</v>
      </c>
      <c r="B24" t="s">
        <v>49</v>
      </c>
      <c r="C24" s="6" t="s">
        <v>17</v>
      </c>
      <c r="D24" s="6">
        <v>1</v>
      </c>
      <c r="E24" s="6">
        <v>9</v>
      </c>
      <c r="F24" s="6" t="s">
        <v>17</v>
      </c>
      <c r="G24" s="6">
        <v>10</v>
      </c>
      <c r="H24" s="6">
        <v>2</v>
      </c>
      <c r="I24" s="6" t="s">
        <v>25</v>
      </c>
      <c r="J24" s="6">
        <v>5</v>
      </c>
      <c r="K24" s="6">
        <v>1</v>
      </c>
      <c r="L24" s="10">
        <v>9196</v>
      </c>
      <c r="M24" s="11">
        <v>1308</v>
      </c>
      <c r="N24" s="12">
        <f t="shared" si="0"/>
        <v>0.14223575467594607</v>
      </c>
    </row>
    <row r="25" spans="1:14" x14ac:dyDescent="0.25">
      <c r="A25" t="s">
        <v>60</v>
      </c>
      <c r="B25" t="s">
        <v>61</v>
      </c>
      <c r="C25" s="6" t="s">
        <v>17</v>
      </c>
      <c r="D25" s="6">
        <v>4</v>
      </c>
      <c r="E25" s="6">
        <v>30</v>
      </c>
      <c r="F25" s="6" t="s">
        <v>17</v>
      </c>
      <c r="G25" s="6">
        <v>21</v>
      </c>
      <c r="H25" s="6">
        <v>6</v>
      </c>
      <c r="I25" s="6" t="s">
        <v>25</v>
      </c>
      <c r="J25" s="6">
        <v>12</v>
      </c>
      <c r="K25" s="6">
        <v>3</v>
      </c>
      <c r="L25" s="10">
        <v>15397</v>
      </c>
      <c r="M25" s="11">
        <v>2809</v>
      </c>
      <c r="N25" s="12">
        <f t="shared" si="0"/>
        <v>0.18243813729947392</v>
      </c>
    </row>
    <row r="26" spans="1:14" x14ac:dyDescent="0.25">
      <c r="A26" t="s">
        <v>62</v>
      </c>
      <c r="B26" t="s">
        <v>16</v>
      </c>
      <c r="C26" s="6" t="s">
        <v>17</v>
      </c>
      <c r="D26" s="6">
        <v>9</v>
      </c>
      <c r="E26" s="6">
        <v>50</v>
      </c>
      <c r="F26" s="6" t="s">
        <v>17</v>
      </c>
      <c r="G26" s="6">
        <v>15</v>
      </c>
      <c r="H26" s="6">
        <v>3</v>
      </c>
      <c r="I26" s="6" t="s">
        <v>29</v>
      </c>
      <c r="J26" s="6">
        <v>15</v>
      </c>
      <c r="K26" s="6">
        <v>3</v>
      </c>
      <c r="L26" s="10">
        <v>26636</v>
      </c>
      <c r="M26" s="11">
        <v>6916</v>
      </c>
      <c r="N26" s="12">
        <f t="shared" si="0"/>
        <v>0.25964859588526806</v>
      </c>
    </row>
    <row r="27" spans="1:14" x14ac:dyDescent="0.25">
      <c r="A27" t="s">
        <v>63</v>
      </c>
      <c r="B27" t="s">
        <v>49</v>
      </c>
      <c r="C27" s="6" t="s">
        <v>17</v>
      </c>
      <c r="D27" s="6">
        <v>1</v>
      </c>
      <c r="E27" s="6">
        <v>20</v>
      </c>
      <c r="F27" s="6" t="s">
        <v>17</v>
      </c>
      <c r="G27" s="6">
        <v>3</v>
      </c>
      <c r="H27" s="6">
        <v>2</v>
      </c>
      <c r="I27" s="6" t="s">
        <v>64</v>
      </c>
      <c r="J27" s="6">
        <v>1</v>
      </c>
      <c r="K27" s="6">
        <v>2</v>
      </c>
      <c r="L27" s="10">
        <v>33909</v>
      </c>
      <c r="M27" s="11">
        <v>4901</v>
      </c>
      <c r="N27" s="12">
        <f t="shared" si="0"/>
        <v>0.14453389955469048</v>
      </c>
    </row>
    <row r="28" spans="1:14" x14ac:dyDescent="0.25">
      <c r="A28" t="s">
        <v>65</v>
      </c>
      <c r="B28" t="s">
        <v>49</v>
      </c>
      <c r="C28" s="6" t="s">
        <v>17</v>
      </c>
      <c r="D28" s="6">
        <v>2</v>
      </c>
      <c r="E28" s="6">
        <v>13</v>
      </c>
      <c r="F28" s="6" t="s">
        <v>17</v>
      </c>
      <c r="G28" s="6">
        <v>28</v>
      </c>
      <c r="H28" s="6">
        <v>3</v>
      </c>
      <c r="I28" s="6" t="s">
        <v>25</v>
      </c>
      <c r="J28" s="6">
        <v>14</v>
      </c>
      <c r="K28" s="6">
        <v>1</v>
      </c>
      <c r="L28" s="10">
        <v>11982</v>
      </c>
      <c r="M28" s="11">
        <v>2201</v>
      </c>
      <c r="N28" s="12">
        <f t="shared" si="0"/>
        <v>0.18369220497412786</v>
      </c>
    </row>
    <row r="29" spans="1:14" x14ac:dyDescent="0.25">
      <c r="A29" t="s">
        <v>66</v>
      </c>
      <c r="B29" t="s">
        <v>20</v>
      </c>
      <c r="C29" s="6" t="s">
        <v>17</v>
      </c>
      <c r="D29" s="6">
        <v>2</v>
      </c>
      <c r="E29" s="6">
        <v>23</v>
      </c>
      <c r="F29" s="6" t="s">
        <v>17</v>
      </c>
      <c r="G29" s="6">
        <v>33</v>
      </c>
      <c r="H29" s="6">
        <v>4</v>
      </c>
      <c r="I29" s="6" t="s">
        <v>25</v>
      </c>
      <c r="J29" s="6">
        <v>12</v>
      </c>
      <c r="K29" s="6">
        <v>3</v>
      </c>
      <c r="L29" s="10">
        <v>15285</v>
      </c>
      <c r="M29" s="11">
        <v>3385</v>
      </c>
      <c r="N29" s="12">
        <f t="shared" si="0"/>
        <v>0.22145894667975138</v>
      </c>
    </row>
    <row r="30" spans="1:14" x14ac:dyDescent="0.25">
      <c r="A30" t="s">
        <v>67</v>
      </c>
      <c r="B30" t="s">
        <v>33</v>
      </c>
      <c r="C30" s="6" t="s">
        <v>17</v>
      </c>
      <c r="D30" s="6">
        <v>3</v>
      </c>
      <c r="E30" s="6">
        <v>27</v>
      </c>
      <c r="F30" s="6" t="s">
        <v>17</v>
      </c>
      <c r="G30" s="6">
        <v>16</v>
      </c>
      <c r="H30" s="6">
        <v>7</v>
      </c>
      <c r="I30" s="6" t="s">
        <v>29</v>
      </c>
      <c r="J30" s="6">
        <v>21</v>
      </c>
      <c r="K30" s="6">
        <v>7</v>
      </c>
      <c r="L30" s="10">
        <v>31142</v>
      </c>
      <c r="M30" s="11">
        <v>7904</v>
      </c>
      <c r="N30" s="12">
        <f t="shared" si="0"/>
        <v>0.25380515060047526</v>
      </c>
    </row>
    <row r="31" spans="1:14" x14ac:dyDescent="0.25">
      <c r="A31" t="s">
        <v>68</v>
      </c>
      <c r="B31" t="s">
        <v>61</v>
      </c>
      <c r="C31" s="6" t="s">
        <v>17</v>
      </c>
      <c r="D31" s="6">
        <v>1</v>
      </c>
      <c r="E31" s="6">
        <v>9</v>
      </c>
      <c r="F31" s="6" t="s">
        <v>21</v>
      </c>
      <c r="G31" s="6">
        <v>0</v>
      </c>
      <c r="H31" s="6">
        <v>0</v>
      </c>
      <c r="I31" s="6" t="s">
        <v>22</v>
      </c>
      <c r="J31" s="6">
        <v>0</v>
      </c>
      <c r="K31" s="6">
        <v>0</v>
      </c>
      <c r="L31" s="10">
        <v>3729</v>
      </c>
      <c r="M31" s="11">
        <v>822</v>
      </c>
      <c r="N31" s="12">
        <f t="shared" si="0"/>
        <v>0.22043443282381336</v>
      </c>
    </row>
    <row r="32" spans="1:14" x14ac:dyDescent="0.25">
      <c r="A32" t="s">
        <v>69</v>
      </c>
      <c r="B32" t="s">
        <v>70</v>
      </c>
      <c r="C32" s="6" t="s">
        <v>17</v>
      </c>
      <c r="D32" s="6">
        <v>1</v>
      </c>
      <c r="E32" s="6">
        <v>20</v>
      </c>
      <c r="F32" s="6" t="s">
        <v>17</v>
      </c>
      <c r="G32" s="6">
        <v>9</v>
      </c>
      <c r="H32" s="6">
        <v>3</v>
      </c>
      <c r="I32" s="6" t="s">
        <v>25</v>
      </c>
      <c r="J32" s="6">
        <v>6</v>
      </c>
      <c r="K32" s="6">
        <v>1</v>
      </c>
      <c r="L32" s="10">
        <v>4797</v>
      </c>
      <c r="M32" s="11">
        <v>1587</v>
      </c>
      <c r="N32" s="12">
        <f t="shared" si="0"/>
        <v>0.33083176985616009</v>
      </c>
    </row>
    <row r="33" spans="1:14" x14ac:dyDescent="0.25">
      <c r="A33" t="s">
        <v>71</v>
      </c>
      <c r="B33" t="s">
        <v>41</v>
      </c>
      <c r="C33" s="6" t="s">
        <v>17</v>
      </c>
      <c r="D33" s="6">
        <v>2</v>
      </c>
      <c r="E33" s="6">
        <v>23</v>
      </c>
      <c r="F33" s="6" t="s">
        <v>17</v>
      </c>
      <c r="G33" s="6">
        <v>23</v>
      </c>
      <c r="H33" s="6">
        <v>6</v>
      </c>
      <c r="I33" s="6" t="s">
        <v>25</v>
      </c>
      <c r="J33" s="6">
        <v>16</v>
      </c>
      <c r="K33" s="6">
        <v>4</v>
      </c>
      <c r="L33" s="10">
        <v>26458</v>
      </c>
      <c r="M33" s="11">
        <v>3070</v>
      </c>
      <c r="N33" s="12">
        <f t="shared" si="0"/>
        <v>0.11603295789553254</v>
      </c>
    </row>
    <row r="34" spans="1:14" x14ac:dyDescent="0.25">
      <c r="A34" t="s">
        <v>72</v>
      </c>
      <c r="B34" t="s">
        <v>20</v>
      </c>
      <c r="C34" s="6" t="s">
        <v>17</v>
      </c>
      <c r="D34" s="6">
        <v>2</v>
      </c>
      <c r="E34" s="6">
        <v>25</v>
      </c>
      <c r="F34" s="6" t="s">
        <v>17</v>
      </c>
      <c r="G34" s="6">
        <v>42</v>
      </c>
      <c r="H34" s="6">
        <v>12</v>
      </c>
      <c r="I34" s="6" t="s">
        <v>25</v>
      </c>
      <c r="J34" s="6">
        <v>24</v>
      </c>
      <c r="K34" s="6">
        <v>6</v>
      </c>
      <c r="L34" s="10">
        <v>18517</v>
      </c>
      <c r="M34" s="11">
        <v>4127</v>
      </c>
      <c r="N34" s="12">
        <f t="shared" si="0"/>
        <v>0.22287627585462008</v>
      </c>
    </row>
    <row r="35" spans="1:14" x14ac:dyDescent="0.25">
      <c r="A35" t="s">
        <v>73</v>
      </c>
      <c r="B35" t="s">
        <v>27</v>
      </c>
      <c r="C35" s="6" t="s">
        <v>17</v>
      </c>
      <c r="D35" s="6">
        <v>3</v>
      </c>
      <c r="E35" s="6">
        <v>23</v>
      </c>
      <c r="F35" s="6" t="s">
        <v>17</v>
      </c>
      <c r="G35" s="6">
        <v>12</v>
      </c>
      <c r="H35" s="6">
        <v>1</v>
      </c>
      <c r="I35" s="6" t="s">
        <v>25</v>
      </c>
      <c r="J35" s="6">
        <v>13</v>
      </c>
      <c r="K35" s="6">
        <v>1</v>
      </c>
      <c r="L35" s="10">
        <v>23216</v>
      </c>
      <c r="M35" s="11">
        <v>7632</v>
      </c>
      <c r="N35" s="12">
        <f t="shared" ref="N35:N66" si="1">M35/L35</f>
        <v>0.32873880082701584</v>
      </c>
    </row>
    <row r="36" spans="1:14" x14ac:dyDescent="0.25">
      <c r="A36" t="s">
        <v>74</v>
      </c>
      <c r="B36" t="s">
        <v>49</v>
      </c>
      <c r="C36" s="6" t="s">
        <v>17</v>
      </c>
      <c r="D36" s="6">
        <v>1</v>
      </c>
      <c r="E36" s="6">
        <v>13</v>
      </c>
      <c r="F36" s="6" t="s">
        <v>17</v>
      </c>
      <c r="G36" s="6">
        <v>13</v>
      </c>
      <c r="H36" s="6">
        <v>2</v>
      </c>
      <c r="I36" s="6" t="s">
        <v>25</v>
      </c>
      <c r="J36" s="6">
        <v>10</v>
      </c>
      <c r="K36" s="6">
        <v>1</v>
      </c>
      <c r="L36" s="10">
        <v>13363</v>
      </c>
      <c r="M36" s="11">
        <v>3451</v>
      </c>
      <c r="N36" s="12">
        <f t="shared" si="1"/>
        <v>0.25825039287585122</v>
      </c>
    </row>
    <row r="37" spans="1:14" x14ac:dyDescent="0.25">
      <c r="A37" t="s">
        <v>75</v>
      </c>
      <c r="B37" t="s">
        <v>27</v>
      </c>
      <c r="C37" s="6" t="s">
        <v>17</v>
      </c>
      <c r="D37" s="6">
        <v>4</v>
      </c>
      <c r="E37" s="6">
        <v>11</v>
      </c>
      <c r="F37" s="6" t="s">
        <v>21</v>
      </c>
      <c r="G37" s="6">
        <v>0</v>
      </c>
      <c r="H37" s="6">
        <v>0</v>
      </c>
      <c r="I37" s="6" t="s">
        <v>22</v>
      </c>
      <c r="J37" s="6">
        <v>0</v>
      </c>
      <c r="K37" s="6">
        <v>0</v>
      </c>
      <c r="L37" s="10">
        <v>13832</v>
      </c>
      <c r="M37" s="11">
        <v>2390</v>
      </c>
      <c r="N37" s="12">
        <f t="shared" si="1"/>
        <v>0.17278773857721227</v>
      </c>
    </row>
    <row r="38" spans="1:14" x14ac:dyDescent="0.25">
      <c r="A38" t="s">
        <v>76</v>
      </c>
      <c r="B38" t="s">
        <v>77</v>
      </c>
      <c r="C38" s="6" t="s">
        <v>17</v>
      </c>
      <c r="D38" s="6">
        <v>3</v>
      </c>
      <c r="E38" s="6">
        <v>29</v>
      </c>
      <c r="F38" s="6" t="s">
        <v>17</v>
      </c>
      <c r="G38" s="6">
        <v>11</v>
      </c>
      <c r="H38" s="6">
        <v>10</v>
      </c>
      <c r="I38" s="6" t="s">
        <v>25</v>
      </c>
      <c r="J38" s="6">
        <v>9</v>
      </c>
      <c r="K38" s="6">
        <v>10</v>
      </c>
      <c r="L38" s="10">
        <v>12151</v>
      </c>
      <c r="M38" s="11">
        <v>1986</v>
      </c>
      <c r="N38" s="12">
        <f t="shared" si="1"/>
        <v>0.16344333799687269</v>
      </c>
    </row>
    <row r="39" spans="1:14" x14ac:dyDescent="0.25">
      <c r="A39" t="s">
        <v>78</v>
      </c>
      <c r="B39" t="s">
        <v>49</v>
      </c>
      <c r="C39" s="6" t="s">
        <v>17</v>
      </c>
      <c r="D39" s="6">
        <v>2</v>
      </c>
      <c r="E39" s="6">
        <v>26</v>
      </c>
      <c r="F39" s="6" t="s">
        <v>17</v>
      </c>
      <c r="G39" s="6">
        <v>14</v>
      </c>
      <c r="H39" s="6">
        <v>3</v>
      </c>
      <c r="I39" s="6" t="s">
        <v>18</v>
      </c>
      <c r="J39" s="6">
        <v>17</v>
      </c>
      <c r="K39" s="6">
        <v>3</v>
      </c>
      <c r="L39" s="10">
        <v>21716</v>
      </c>
      <c r="M39" s="11">
        <v>2359</v>
      </c>
      <c r="N39" s="12">
        <f t="shared" si="1"/>
        <v>0.10862958187511512</v>
      </c>
    </row>
    <row r="40" spans="1:14" x14ac:dyDescent="0.25">
      <c r="A40" t="s">
        <v>79</v>
      </c>
      <c r="B40" t="s">
        <v>49</v>
      </c>
      <c r="C40" s="6" t="s">
        <v>17</v>
      </c>
      <c r="D40" s="6">
        <v>2</v>
      </c>
      <c r="E40" s="6">
        <v>21</v>
      </c>
      <c r="F40" s="6" t="s">
        <v>80</v>
      </c>
      <c r="G40" s="6">
        <v>5</v>
      </c>
      <c r="H40" s="6">
        <v>2</v>
      </c>
      <c r="I40" s="6" t="s">
        <v>22</v>
      </c>
      <c r="J40" s="6">
        <v>0</v>
      </c>
      <c r="K40" s="6">
        <v>0</v>
      </c>
      <c r="L40" s="10">
        <v>13257</v>
      </c>
      <c r="M40" s="11">
        <v>2321</v>
      </c>
      <c r="N40" s="12">
        <f t="shared" si="1"/>
        <v>0.17507731764350909</v>
      </c>
    </row>
    <row r="41" spans="1:14" x14ac:dyDescent="0.25">
      <c r="A41" t="s">
        <v>81</v>
      </c>
      <c r="B41" t="s">
        <v>82</v>
      </c>
      <c r="C41" s="6" t="s">
        <v>17</v>
      </c>
      <c r="D41" s="6">
        <v>2</v>
      </c>
      <c r="E41" s="6">
        <v>25</v>
      </c>
      <c r="F41" s="6" t="s">
        <v>17</v>
      </c>
      <c r="G41" s="6">
        <v>8</v>
      </c>
      <c r="H41" s="6">
        <v>4</v>
      </c>
      <c r="I41" s="6" t="s">
        <v>29</v>
      </c>
      <c r="J41" s="6">
        <v>8</v>
      </c>
      <c r="K41" s="6">
        <v>2</v>
      </c>
      <c r="L41" s="10">
        <v>8524</v>
      </c>
      <c r="M41" s="11">
        <v>3719</v>
      </c>
      <c r="N41" s="12">
        <f t="shared" si="1"/>
        <v>0.43629751290473956</v>
      </c>
    </row>
    <row r="42" spans="1:14" x14ac:dyDescent="0.25">
      <c r="A42" t="s">
        <v>83</v>
      </c>
      <c r="B42" t="s">
        <v>33</v>
      </c>
      <c r="C42" s="6" t="s">
        <v>17</v>
      </c>
      <c r="D42" s="6">
        <v>1</v>
      </c>
      <c r="E42" s="6">
        <v>2</v>
      </c>
      <c r="F42" s="6" t="s">
        <v>21</v>
      </c>
      <c r="G42" s="6">
        <v>0</v>
      </c>
      <c r="H42" s="6">
        <v>0</v>
      </c>
      <c r="I42" s="6" t="s">
        <v>22</v>
      </c>
      <c r="J42" s="6">
        <v>0</v>
      </c>
      <c r="K42" s="6">
        <v>0</v>
      </c>
      <c r="L42" s="10">
        <v>2679</v>
      </c>
      <c r="M42" s="11">
        <v>817</v>
      </c>
      <c r="N42" s="12">
        <f t="shared" si="1"/>
        <v>0.30496453900709219</v>
      </c>
    </row>
    <row r="43" spans="1:14" x14ac:dyDescent="0.25">
      <c r="A43" t="s">
        <v>84</v>
      </c>
      <c r="B43" t="s">
        <v>85</v>
      </c>
      <c r="C43" s="6" t="s">
        <v>17</v>
      </c>
      <c r="D43" s="6">
        <v>4</v>
      </c>
      <c r="E43" s="6">
        <v>24</v>
      </c>
      <c r="F43" s="6" t="s">
        <v>17</v>
      </c>
      <c r="G43" s="6">
        <v>4</v>
      </c>
      <c r="H43" s="6">
        <v>5</v>
      </c>
      <c r="I43" s="6" t="s">
        <v>29</v>
      </c>
      <c r="J43" s="6">
        <v>4</v>
      </c>
      <c r="K43" s="6">
        <v>5</v>
      </c>
      <c r="L43" s="10">
        <v>10894</v>
      </c>
      <c r="M43" s="11">
        <v>5805</v>
      </c>
      <c r="N43" s="12">
        <f t="shared" si="1"/>
        <v>0.53286212594088489</v>
      </c>
    </row>
    <row r="44" spans="1:14" x14ac:dyDescent="0.25">
      <c r="A44" t="s">
        <v>86</v>
      </c>
      <c r="B44" t="s">
        <v>87</v>
      </c>
      <c r="C44" s="6" t="s">
        <v>17</v>
      </c>
      <c r="D44" s="6">
        <v>6</v>
      </c>
      <c r="E44" s="6">
        <v>37</v>
      </c>
      <c r="F44" s="6" t="s">
        <v>17</v>
      </c>
      <c r="G44" s="6">
        <v>3</v>
      </c>
      <c r="H44" s="6">
        <v>6</v>
      </c>
      <c r="I44" s="6" t="s">
        <v>25</v>
      </c>
      <c r="J44" s="6">
        <v>7</v>
      </c>
      <c r="K44" s="6">
        <v>6</v>
      </c>
      <c r="L44" s="10">
        <v>21034</v>
      </c>
      <c r="M44" s="11">
        <v>7907</v>
      </c>
      <c r="N44" s="12">
        <f t="shared" si="1"/>
        <v>0.37591518493867071</v>
      </c>
    </row>
    <row r="45" spans="1:14" x14ac:dyDescent="0.25">
      <c r="A45" t="s">
        <v>88</v>
      </c>
      <c r="B45" t="s">
        <v>35</v>
      </c>
      <c r="C45" s="6" t="s">
        <v>17</v>
      </c>
      <c r="D45" s="6">
        <v>2</v>
      </c>
      <c r="E45" s="6">
        <v>9</v>
      </c>
      <c r="F45" s="6" t="s">
        <v>17</v>
      </c>
      <c r="G45" s="6">
        <v>10</v>
      </c>
      <c r="H45" s="6">
        <v>2</v>
      </c>
      <c r="I45" s="6" t="s">
        <v>29</v>
      </c>
      <c r="J45" s="6">
        <v>9</v>
      </c>
      <c r="K45" s="6">
        <v>2</v>
      </c>
      <c r="L45" s="10">
        <v>4450</v>
      </c>
      <c r="M45" s="11">
        <v>832</v>
      </c>
      <c r="N45" s="12">
        <f t="shared" si="1"/>
        <v>0.18696629213483146</v>
      </c>
    </row>
    <row r="46" spans="1:14" x14ac:dyDescent="0.25">
      <c r="A46" t="s">
        <v>89</v>
      </c>
      <c r="B46" t="s">
        <v>35</v>
      </c>
      <c r="C46" s="6" t="s">
        <v>17</v>
      </c>
      <c r="D46" s="6">
        <v>2</v>
      </c>
      <c r="E46" s="6">
        <v>29</v>
      </c>
      <c r="F46" s="6" t="s">
        <v>17</v>
      </c>
      <c r="G46" s="6">
        <v>17</v>
      </c>
      <c r="H46" s="6">
        <v>7</v>
      </c>
      <c r="I46" s="6" t="s">
        <v>90</v>
      </c>
      <c r="J46" s="6">
        <v>13</v>
      </c>
      <c r="K46" s="6">
        <v>6</v>
      </c>
      <c r="L46" s="10">
        <v>27780</v>
      </c>
      <c r="M46" s="11">
        <v>5327</v>
      </c>
      <c r="N46" s="12">
        <f t="shared" si="1"/>
        <v>0.19175665946724263</v>
      </c>
    </row>
    <row r="47" spans="1:14" x14ac:dyDescent="0.25">
      <c r="A47" t="s">
        <v>91</v>
      </c>
      <c r="B47" t="s">
        <v>92</v>
      </c>
      <c r="C47" s="6" t="s">
        <v>17</v>
      </c>
      <c r="D47" s="6">
        <v>1</v>
      </c>
      <c r="E47" s="6">
        <v>5</v>
      </c>
      <c r="F47" s="6" t="s">
        <v>21</v>
      </c>
      <c r="G47" s="6">
        <v>0</v>
      </c>
      <c r="H47" s="6">
        <v>0</v>
      </c>
      <c r="I47" s="6" t="s">
        <v>22</v>
      </c>
      <c r="J47" s="6">
        <v>0</v>
      </c>
      <c r="K47" s="6">
        <v>0</v>
      </c>
      <c r="L47" s="10">
        <v>3995</v>
      </c>
      <c r="M47" s="11">
        <v>1002</v>
      </c>
      <c r="N47" s="12">
        <f t="shared" si="1"/>
        <v>0.25081351689612014</v>
      </c>
    </row>
    <row r="48" spans="1:14" x14ac:dyDescent="0.25">
      <c r="A48" t="s">
        <v>93</v>
      </c>
      <c r="B48" t="s">
        <v>94</v>
      </c>
      <c r="C48" s="6" t="s">
        <v>17</v>
      </c>
      <c r="D48" s="6">
        <v>3</v>
      </c>
      <c r="E48" s="6">
        <v>31</v>
      </c>
      <c r="F48" s="6" t="s">
        <v>17</v>
      </c>
      <c r="G48" s="6">
        <v>26</v>
      </c>
      <c r="H48" s="6">
        <v>6</v>
      </c>
      <c r="I48" s="6" t="s">
        <v>25</v>
      </c>
      <c r="J48" s="6">
        <v>25</v>
      </c>
      <c r="K48" s="6">
        <v>2</v>
      </c>
      <c r="L48" s="10">
        <v>22847</v>
      </c>
      <c r="M48" s="11">
        <v>6330</v>
      </c>
      <c r="N48" s="12">
        <f t="shared" si="1"/>
        <v>0.27706044557272291</v>
      </c>
    </row>
    <row r="49" spans="1:14" x14ac:dyDescent="0.25">
      <c r="A49" t="s">
        <v>95</v>
      </c>
      <c r="B49" t="s">
        <v>96</v>
      </c>
      <c r="C49" s="6" t="s">
        <v>17</v>
      </c>
      <c r="D49" s="6">
        <v>1</v>
      </c>
      <c r="E49" s="6">
        <v>13</v>
      </c>
      <c r="F49" s="6" t="s">
        <v>17</v>
      </c>
      <c r="G49" s="6">
        <v>23</v>
      </c>
      <c r="H49" s="6">
        <v>4</v>
      </c>
      <c r="I49" s="6" t="s">
        <v>25</v>
      </c>
      <c r="J49" s="6">
        <v>8</v>
      </c>
      <c r="K49" s="6">
        <v>4</v>
      </c>
      <c r="L49" s="10">
        <v>12554</v>
      </c>
      <c r="M49" s="11">
        <v>5288</v>
      </c>
      <c r="N49" s="12">
        <f t="shared" si="1"/>
        <v>0.42122032818225269</v>
      </c>
    </row>
    <row r="50" spans="1:14" x14ac:dyDescent="0.25">
      <c r="A50" t="s">
        <v>97</v>
      </c>
      <c r="B50" t="s">
        <v>98</v>
      </c>
      <c r="C50" s="6" t="s">
        <v>17</v>
      </c>
      <c r="D50" s="6">
        <v>8</v>
      </c>
      <c r="E50" s="6">
        <v>41</v>
      </c>
      <c r="F50" s="6" t="s">
        <v>17</v>
      </c>
      <c r="G50" s="6">
        <v>33</v>
      </c>
      <c r="H50" s="6">
        <v>10</v>
      </c>
      <c r="I50" s="6" t="s">
        <v>25</v>
      </c>
      <c r="J50" s="6">
        <v>19</v>
      </c>
      <c r="K50" s="6">
        <v>4</v>
      </c>
      <c r="L50" s="10">
        <v>37212</v>
      </c>
      <c r="M50" s="11">
        <v>16586</v>
      </c>
      <c r="N50" s="12">
        <f t="shared" si="1"/>
        <v>0.445716435558422</v>
      </c>
    </row>
    <row r="51" spans="1:14" x14ac:dyDescent="0.25">
      <c r="A51" t="s">
        <v>99</v>
      </c>
      <c r="B51" t="s">
        <v>31</v>
      </c>
      <c r="C51" s="6" t="s">
        <v>17</v>
      </c>
      <c r="D51" s="6">
        <v>2</v>
      </c>
      <c r="E51" s="6">
        <v>12</v>
      </c>
      <c r="F51" s="6" t="s">
        <v>21</v>
      </c>
      <c r="G51" s="6">
        <v>0</v>
      </c>
      <c r="H51" s="6">
        <v>0</v>
      </c>
      <c r="I51" s="6" t="s">
        <v>22</v>
      </c>
      <c r="J51" s="6">
        <v>0</v>
      </c>
      <c r="K51" s="6">
        <v>0</v>
      </c>
      <c r="L51" s="10">
        <v>3432</v>
      </c>
      <c r="M51" s="11">
        <v>1917</v>
      </c>
      <c r="N51" s="12">
        <f t="shared" si="1"/>
        <v>0.55856643356643354</v>
      </c>
    </row>
    <row r="52" spans="1:14" x14ac:dyDescent="0.25">
      <c r="A52" t="s">
        <v>100</v>
      </c>
      <c r="B52" t="s">
        <v>39</v>
      </c>
      <c r="C52" s="6" t="s">
        <v>17</v>
      </c>
      <c r="D52" s="6">
        <v>2</v>
      </c>
      <c r="E52" s="6">
        <v>7</v>
      </c>
      <c r="F52" s="6" t="s">
        <v>21</v>
      </c>
      <c r="G52" s="6">
        <v>0</v>
      </c>
      <c r="H52" s="6">
        <v>0</v>
      </c>
      <c r="I52" s="6" t="s">
        <v>22</v>
      </c>
      <c r="J52" s="6">
        <v>0</v>
      </c>
      <c r="K52" s="6">
        <v>0</v>
      </c>
      <c r="L52" s="10">
        <v>3154</v>
      </c>
      <c r="M52" s="11">
        <v>311</v>
      </c>
      <c r="N52" s="12">
        <f t="shared" si="1"/>
        <v>9.860494610019023E-2</v>
      </c>
    </row>
    <row r="53" spans="1:14" x14ac:dyDescent="0.25">
      <c r="A53" t="s">
        <v>101</v>
      </c>
      <c r="B53" t="s">
        <v>102</v>
      </c>
      <c r="C53" s="6" t="s">
        <v>17</v>
      </c>
      <c r="D53" s="6">
        <v>2</v>
      </c>
      <c r="E53" s="6">
        <v>14</v>
      </c>
      <c r="F53" s="6" t="s">
        <v>21</v>
      </c>
      <c r="G53" s="6">
        <v>0</v>
      </c>
      <c r="H53" s="6">
        <v>0</v>
      </c>
      <c r="I53" s="6" t="s">
        <v>22</v>
      </c>
      <c r="J53" s="6">
        <v>0</v>
      </c>
      <c r="K53" s="6">
        <v>0</v>
      </c>
      <c r="L53" s="10">
        <v>6459</v>
      </c>
      <c r="M53" s="11">
        <v>1777</v>
      </c>
      <c r="N53" s="12">
        <f t="shared" si="1"/>
        <v>0.27511998761418177</v>
      </c>
    </row>
    <row r="54" spans="1:14" x14ac:dyDescent="0.25">
      <c r="A54" t="s">
        <v>103</v>
      </c>
      <c r="B54" t="s">
        <v>102</v>
      </c>
      <c r="C54" s="6" t="s">
        <v>17</v>
      </c>
      <c r="D54" s="6">
        <v>11</v>
      </c>
      <c r="E54" s="6">
        <v>71</v>
      </c>
      <c r="F54" s="6" t="s">
        <v>17</v>
      </c>
      <c r="G54" s="6">
        <v>1</v>
      </c>
      <c r="H54" s="6">
        <v>6</v>
      </c>
      <c r="I54" s="6" t="s">
        <v>25</v>
      </c>
      <c r="J54" s="6">
        <v>20</v>
      </c>
      <c r="K54" s="6">
        <v>6</v>
      </c>
      <c r="L54" s="10">
        <v>28197</v>
      </c>
      <c r="M54" s="11">
        <v>4001</v>
      </c>
      <c r="N54" s="12">
        <f t="shared" si="1"/>
        <v>0.14189452778664396</v>
      </c>
    </row>
    <row r="55" spans="1:14" x14ac:dyDescent="0.25">
      <c r="A55" t="s">
        <v>104</v>
      </c>
      <c r="B55" t="s">
        <v>43</v>
      </c>
      <c r="C55" s="6" t="s">
        <v>17</v>
      </c>
      <c r="D55" s="6">
        <v>5</v>
      </c>
      <c r="E55" s="6">
        <v>41</v>
      </c>
      <c r="F55" s="6" t="s">
        <v>17</v>
      </c>
      <c r="G55" s="6">
        <v>1</v>
      </c>
      <c r="H55" s="6">
        <v>2</v>
      </c>
      <c r="I55" s="6" t="s">
        <v>25</v>
      </c>
      <c r="J55" s="6">
        <v>6</v>
      </c>
      <c r="K55" s="6">
        <v>1</v>
      </c>
      <c r="L55" s="10">
        <v>36068</v>
      </c>
      <c r="M55" s="11">
        <v>15981</v>
      </c>
      <c r="N55" s="12">
        <f t="shared" si="1"/>
        <v>0.44307973827215258</v>
      </c>
    </row>
    <row r="56" spans="1:14" x14ac:dyDescent="0.25">
      <c r="A56" t="s">
        <v>105</v>
      </c>
      <c r="B56" t="s">
        <v>92</v>
      </c>
      <c r="C56" s="6" t="s">
        <v>17</v>
      </c>
      <c r="D56" s="6">
        <v>4</v>
      </c>
      <c r="E56" s="6">
        <v>36</v>
      </c>
      <c r="F56" s="6" t="s">
        <v>17</v>
      </c>
      <c r="G56" s="6">
        <v>46</v>
      </c>
      <c r="H56" s="6">
        <v>12</v>
      </c>
      <c r="I56" s="6" t="s">
        <v>29</v>
      </c>
      <c r="J56" s="6">
        <v>32</v>
      </c>
      <c r="K56" s="6">
        <v>7</v>
      </c>
      <c r="L56" s="10">
        <v>20031</v>
      </c>
      <c r="M56" s="11">
        <v>8772</v>
      </c>
      <c r="N56" s="12">
        <f t="shared" si="1"/>
        <v>0.43792122210573609</v>
      </c>
    </row>
    <row r="57" spans="1:14" x14ac:dyDescent="0.25">
      <c r="A57" t="s">
        <v>106</v>
      </c>
      <c r="B57" t="s">
        <v>39</v>
      </c>
      <c r="C57" s="6" t="s">
        <v>17</v>
      </c>
      <c r="D57" s="6">
        <v>5</v>
      </c>
      <c r="E57" s="6">
        <v>18</v>
      </c>
      <c r="F57" s="6" t="s">
        <v>17</v>
      </c>
      <c r="G57" s="6">
        <v>12</v>
      </c>
      <c r="H57" s="6">
        <v>3</v>
      </c>
      <c r="I57" s="6" t="s">
        <v>29</v>
      </c>
      <c r="J57" s="6">
        <v>13</v>
      </c>
      <c r="K57" s="6">
        <v>3</v>
      </c>
      <c r="L57" s="10">
        <v>8513</v>
      </c>
      <c r="M57" s="11">
        <v>2828</v>
      </c>
      <c r="N57" s="12">
        <f t="shared" si="1"/>
        <v>0.33219781510630803</v>
      </c>
    </row>
    <row r="58" spans="1:14" x14ac:dyDescent="0.25">
      <c r="A58" t="s">
        <v>107</v>
      </c>
      <c r="B58" t="s">
        <v>96</v>
      </c>
      <c r="C58" s="6" t="s">
        <v>17</v>
      </c>
      <c r="D58" s="6">
        <v>2</v>
      </c>
      <c r="E58" s="6">
        <v>29</v>
      </c>
      <c r="F58" s="6" t="s">
        <v>17</v>
      </c>
      <c r="G58" s="6">
        <v>11</v>
      </c>
      <c r="H58" s="6">
        <v>3</v>
      </c>
      <c r="I58" s="6" t="s">
        <v>25</v>
      </c>
      <c r="J58" s="6">
        <v>11</v>
      </c>
      <c r="K58" s="6">
        <v>3</v>
      </c>
      <c r="L58" s="10">
        <v>50105</v>
      </c>
      <c r="M58" s="11">
        <v>9523</v>
      </c>
      <c r="N58" s="12">
        <f t="shared" si="1"/>
        <v>0.19006087216844628</v>
      </c>
    </row>
    <row r="59" spans="1:14" x14ac:dyDescent="0.25">
      <c r="A59" t="s">
        <v>108</v>
      </c>
      <c r="B59" t="s">
        <v>20</v>
      </c>
      <c r="C59" s="6" t="s">
        <v>17</v>
      </c>
      <c r="D59" s="6">
        <v>3</v>
      </c>
      <c r="E59" s="6">
        <v>17</v>
      </c>
      <c r="F59" s="6" t="s">
        <v>17</v>
      </c>
      <c r="G59" s="6">
        <v>15</v>
      </c>
      <c r="H59" s="6">
        <v>3</v>
      </c>
      <c r="I59" s="6" t="s">
        <v>29</v>
      </c>
      <c r="J59" s="6">
        <v>6</v>
      </c>
      <c r="K59" s="6">
        <v>1</v>
      </c>
      <c r="L59" s="10">
        <v>7724</v>
      </c>
      <c r="M59" s="11">
        <v>1777</v>
      </c>
      <c r="N59" s="12">
        <f t="shared" si="1"/>
        <v>0.23006214396685656</v>
      </c>
    </row>
    <row r="60" spans="1:14" x14ac:dyDescent="0.25">
      <c r="A60" t="s">
        <v>109</v>
      </c>
      <c r="B60" t="s">
        <v>110</v>
      </c>
      <c r="C60" s="6" t="s">
        <v>17</v>
      </c>
      <c r="D60" s="6">
        <v>3</v>
      </c>
      <c r="E60" s="6">
        <v>27</v>
      </c>
      <c r="F60" s="6" t="s">
        <v>17</v>
      </c>
      <c r="G60" s="6">
        <v>14</v>
      </c>
      <c r="H60" s="6">
        <v>10</v>
      </c>
      <c r="I60" s="6" t="s">
        <v>25</v>
      </c>
      <c r="J60" s="6">
        <v>9</v>
      </c>
      <c r="K60" s="6">
        <v>2</v>
      </c>
      <c r="L60" s="10">
        <v>30420</v>
      </c>
      <c r="M60" s="11">
        <v>6943</v>
      </c>
      <c r="N60" s="12">
        <f t="shared" si="1"/>
        <v>0.22823800131492439</v>
      </c>
    </row>
    <row r="61" spans="1:14" x14ac:dyDescent="0.25">
      <c r="A61" t="s">
        <v>111</v>
      </c>
      <c r="B61" t="s">
        <v>20</v>
      </c>
      <c r="C61" s="6" t="s">
        <v>17</v>
      </c>
      <c r="D61" s="6">
        <v>2</v>
      </c>
      <c r="E61" s="6">
        <v>18</v>
      </c>
      <c r="F61" s="6" t="s">
        <v>17</v>
      </c>
      <c r="G61" s="6">
        <v>15</v>
      </c>
      <c r="H61" s="6">
        <v>7</v>
      </c>
      <c r="I61" s="6" t="s">
        <v>29</v>
      </c>
      <c r="J61" s="6">
        <v>10</v>
      </c>
      <c r="K61" s="6">
        <v>2</v>
      </c>
      <c r="L61" s="10">
        <v>27917</v>
      </c>
      <c r="M61" s="11">
        <v>3974</v>
      </c>
      <c r="N61" s="12">
        <f t="shared" si="1"/>
        <v>0.14235053909804063</v>
      </c>
    </row>
    <row r="62" spans="1:14" x14ac:dyDescent="0.25">
      <c r="A62" t="s">
        <v>112</v>
      </c>
      <c r="B62" t="s">
        <v>39</v>
      </c>
      <c r="C62" s="6" t="s">
        <v>17</v>
      </c>
      <c r="D62" s="6">
        <v>3</v>
      </c>
      <c r="E62" s="6">
        <v>16</v>
      </c>
      <c r="F62" s="6" t="s">
        <v>21</v>
      </c>
      <c r="G62" s="6">
        <v>0</v>
      </c>
      <c r="H62" s="6">
        <v>0</v>
      </c>
      <c r="I62" s="6" t="s">
        <v>22</v>
      </c>
      <c r="J62" s="6">
        <v>0</v>
      </c>
      <c r="K62" s="6">
        <v>0</v>
      </c>
      <c r="L62" s="10">
        <v>3966</v>
      </c>
      <c r="M62" s="11">
        <v>1239</v>
      </c>
      <c r="N62" s="12">
        <f t="shared" si="1"/>
        <v>0.3124054462934947</v>
      </c>
    </row>
    <row r="63" spans="1:14" x14ac:dyDescent="0.25">
      <c r="A63" t="s">
        <v>113</v>
      </c>
      <c r="B63" t="s">
        <v>102</v>
      </c>
      <c r="C63" s="6" t="s">
        <v>17</v>
      </c>
      <c r="D63" s="6">
        <v>4</v>
      </c>
      <c r="E63" s="6">
        <v>18</v>
      </c>
      <c r="F63" s="6" t="s">
        <v>21</v>
      </c>
      <c r="G63" s="6">
        <v>0</v>
      </c>
      <c r="H63" s="6">
        <v>0</v>
      </c>
      <c r="I63" s="6" t="s">
        <v>22</v>
      </c>
      <c r="J63" s="6">
        <v>0</v>
      </c>
      <c r="K63" s="6">
        <v>0</v>
      </c>
      <c r="L63" s="10">
        <v>5225</v>
      </c>
      <c r="M63" s="11">
        <v>1893</v>
      </c>
      <c r="N63" s="12">
        <f t="shared" si="1"/>
        <v>0.36229665071770334</v>
      </c>
    </row>
    <row r="64" spans="1:14" x14ac:dyDescent="0.25">
      <c r="A64" t="s">
        <v>114</v>
      </c>
      <c r="B64" t="s">
        <v>49</v>
      </c>
      <c r="C64" s="6" t="s">
        <v>17</v>
      </c>
      <c r="D64" s="6">
        <v>2</v>
      </c>
      <c r="E64" s="6">
        <v>11</v>
      </c>
      <c r="F64" s="6" t="s">
        <v>17</v>
      </c>
      <c r="G64" s="6">
        <v>8</v>
      </c>
      <c r="H64" s="6">
        <v>1</v>
      </c>
      <c r="I64" s="6" t="s">
        <v>25</v>
      </c>
      <c r="J64" s="6">
        <v>7</v>
      </c>
      <c r="K64" s="6">
        <v>1</v>
      </c>
      <c r="L64" s="10">
        <v>6144</v>
      </c>
      <c r="M64" s="11">
        <v>1656</v>
      </c>
      <c r="N64" s="12">
        <f t="shared" si="1"/>
        <v>0.26953125</v>
      </c>
    </row>
    <row r="65" spans="1:14" x14ac:dyDescent="0.25">
      <c r="A65" t="s">
        <v>115</v>
      </c>
      <c r="B65" t="s">
        <v>49</v>
      </c>
      <c r="C65" s="6" t="s">
        <v>17</v>
      </c>
      <c r="D65" s="6">
        <v>2</v>
      </c>
      <c r="E65" s="6">
        <v>10</v>
      </c>
      <c r="F65" s="6" t="s">
        <v>17</v>
      </c>
      <c r="G65" s="6">
        <v>28</v>
      </c>
      <c r="H65" s="6">
        <v>4</v>
      </c>
      <c r="I65" s="6" t="s">
        <v>25</v>
      </c>
      <c r="J65" s="6">
        <v>11</v>
      </c>
      <c r="K65" s="6">
        <v>4</v>
      </c>
      <c r="L65" s="10">
        <v>7773</v>
      </c>
      <c r="M65" s="11">
        <v>1692</v>
      </c>
      <c r="N65" s="12">
        <f t="shared" si="1"/>
        <v>0.21767657275183327</v>
      </c>
    </row>
    <row r="66" spans="1:14" x14ac:dyDescent="0.25">
      <c r="A66" t="s">
        <v>116</v>
      </c>
      <c r="B66" t="s">
        <v>96</v>
      </c>
      <c r="C66" s="6" t="s">
        <v>17</v>
      </c>
      <c r="D66" s="6">
        <v>5</v>
      </c>
      <c r="E66" s="6">
        <v>32</v>
      </c>
      <c r="F66" s="6" t="s">
        <v>17</v>
      </c>
      <c r="G66" s="6">
        <v>20</v>
      </c>
      <c r="H66" s="6">
        <v>2</v>
      </c>
      <c r="I66" s="6" t="s">
        <v>25</v>
      </c>
      <c r="J66" s="6">
        <v>12</v>
      </c>
      <c r="K66" s="6">
        <v>2</v>
      </c>
      <c r="L66" s="10">
        <v>43774</v>
      </c>
      <c r="M66" s="11">
        <v>8006</v>
      </c>
      <c r="N66" s="12">
        <f t="shared" si="1"/>
        <v>0.18289395531594096</v>
      </c>
    </row>
    <row r="67" spans="1:14" x14ac:dyDescent="0.25">
      <c r="A67" t="s">
        <v>117</v>
      </c>
      <c r="B67" t="s">
        <v>102</v>
      </c>
      <c r="C67" s="6" t="s">
        <v>17</v>
      </c>
      <c r="D67" s="6">
        <v>4</v>
      </c>
      <c r="E67" s="6">
        <v>9</v>
      </c>
      <c r="F67" s="6" t="s">
        <v>17</v>
      </c>
      <c r="G67" s="6">
        <v>1</v>
      </c>
      <c r="H67" s="6">
        <v>1</v>
      </c>
      <c r="I67" s="6" t="s">
        <v>25</v>
      </c>
      <c r="J67" s="6">
        <v>10</v>
      </c>
      <c r="K67" s="6">
        <v>1</v>
      </c>
      <c r="L67" s="10">
        <v>9133</v>
      </c>
      <c r="M67" s="11">
        <v>1738</v>
      </c>
      <c r="N67" s="12">
        <f t="shared" ref="N67:N98" si="2">M67/L67</f>
        <v>0.19029891601883281</v>
      </c>
    </row>
    <row r="68" spans="1:14" x14ac:dyDescent="0.25">
      <c r="A68" t="s">
        <v>118</v>
      </c>
      <c r="B68" t="s">
        <v>33</v>
      </c>
      <c r="C68" s="6" t="s">
        <v>17</v>
      </c>
      <c r="D68" s="6">
        <v>2</v>
      </c>
      <c r="E68" s="6">
        <v>11</v>
      </c>
      <c r="F68" s="6" t="s">
        <v>17</v>
      </c>
      <c r="G68" s="6">
        <v>17</v>
      </c>
      <c r="H68" s="6">
        <v>6</v>
      </c>
      <c r="I68" s="6" t="s">
        <v>25</v>
      </c>
      <c r="J68" s="6">
        <v>14</v>
      </c>
      <c r="K68" s="6">
        <v>6</v>
      </c>
      <c r="L68" s="10">
        <v>14173</v>
      </c>
      <c r="M68" s="11">
        <v>5494</v>
      </c>
      <c r="N68" s="12">
        <f t="shared" si="2"/>
        <v>0.38763846750864317</v>
      </c>
    </row>
    <row r="69" spans="1:14" x14ac:dyDescent="0.25">
      <c r="A69" t="s">
        <v>119</v>
      </c>
      <c r="B69" t="s">
        <v>96</v>
      </c>
      <c r="C69" s="6" t="s">
        <v>17</v>
      </c>
      <c r="D69" s="6">
        <v>2</v>
      </c>
      <c r="E69" s="6">
        <v>21</v>
      </c>
      <c r="F69" s="6" t="s">
        <v>17</v>
      </c>
      <c r="G69" s="6">
        <v>10</v>
      </c>
      <c r="H69" s="6">
        <v>2</v>
      </c>
      <c r="I69" s="6" t="s">
        <v>25</v>
      </c>
      <c r="J69" s="6">
        <v>5</v>
      </c>
      <c r="K69" s="6">
        <v>1</v>
      </c>
      <c r="L69" s="10">
        <v>19708</v>
      </c>
      <c r="M69" s="11">
        <v>5463</v>
      </c>
      <c r="N69" s="12">
        <f t="shared" si="2"/>
        <v>0.27719707732900345</v>
      </c>
    </row>
    <row r="70" spans="1:14" x14ac:dyDescent="0.25">
      <c r="A70" t="s">
        <v>120</v>
      </c>
      <c r="B70" t="s">
        <v>110</v>
      </c>
      <c r="C70" s="6" t="s">
        <v>17</v>
      </c>
      <c r="D70" s="6">
        <v>3</v>
      </c>
      <c r="E70" s="6">
        <v>8</v>
      </c>
      <c r="F70" s="6" t="s">
        <v>17</v>
      </c>
      <c r="G70" s="6">
        <v>7</v>
      </c>
      <c r="H70" s="6">
        <v>4</v>
      </c>
      <c r="I70" s="6" t="s">
        <v>25</v>
      </c>
      <c r="J70" s="6">
        <v>8</v>
      </c>
      <c r="K70" s="6">
        <v>4</v>
      </c>
      <c r="L70" s="10">
        <v>12942</v>
      </c>
      <c r="M70" s="11">
        <v>2537</v>
      </c>
      <c r="N70" s="12">
        <f t="shared" si="2"/>
        <v>0.19602843455416474</v>
      </c>
    </row>
    <row r="71" spans="1:14" x14ac:dyDescent="0.25">
      <c r="A71" t="s">
        <v>121</v>
      </c>
      <c r="B71" t="s">
        <v>43</v>
      </c>
      <c r="C71" s="6" t="s">
        <v>17</v>
      </c>
      <c r="D71" s="6">
        <v>12</v>
      </c>
      <c r="E71" s="6">
        <v>19</v>
      </c>
      <c r="F71" s="6" t="s">
        <v>17</v>
      </c>
      <c r="G71" s="6">
        <v>2</v>
      </c>
      <c r="H71" s="6">
        <v>1</v>
      </c>
      <c r="I71" s="6" t="s">
        <v>25</v>
      </c>
      <c r="J71" s="6">
        <v>12</v>
      </c>
      <c r="K71" s="6">
        <v>1</v>
      </c>
      <c r="L71" s="10">
        <v>27658</v>
      </c>
      <c r="M71" s="11">
        <v>2912</v>
      </c>
      <c r="N71" s="12">
        <f t="shared" si="2"/>
        <v>0.10528599320269</v>
      </c>
    </row>
  </sheetData>
  <mergeCells count="5">
    <mergeCell ref="A1:B1"/>
    <mergeCell ref="C1:E1"/>
    <mergeCell ref="F1:H1"/>
    <mergeCell ref="I1:K1"/>
    <mergeCell ref="L1:P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Ocimar Luis Zolin</cp:lastModifiedBy>
  <cp:revision>2</cp:revision>
  <dcterms:created xsi:type="dcterms:W3CDTF">2026-06-19T22:38:23Z</dcterms:created>
  <dcterms:modified xsi:type="dcterms:W3CDTF">2026-06-23T14:13:52Z</dcterms:modified>
  <dc:language>pt-BR</dc:language>
</cp:coreProperties>
</file>