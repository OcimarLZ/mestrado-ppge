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planilhas\"/>
    </mc:Choice>
  </mc:AlternateContent>
  <xr:revisionPtr revIDLastSave="0" documentId="13_ncr:1_{4458204A-29A4-443F-8603-202CEF4B95B4}" xr6:coauthVersionLast="47" xr6:coauthVersionMax="47" xr10:uidLastSave="{00000000-0000-0000-0000-000000000000}"/>
  <bookViews>
    <workbookView xWindow="-28920" yWindow="-285" windowWidth="29040" windowHeight="15720" tabRatio="500" activeTab="5" xr2:uid="{00000000-000D-0000-FFFF-FFFF00000000}"/>
  </bookViews>
  <sheets>
    <sheet name="Resumo_Geral" sheetId="1" r:id="rId1"/>
    <sheet name="Planilha1" sheetId="2" r:id="rId2"/>
    <sheet name="Planilha3" sheetId="3" r:id="rId3"/>
    <sheet name="Planilha4" sheetId="4" r:id="rId4"/>
    <sheet name="Planilha5" sheetId="5" r:id="rId5"/>
    <sheet name="Planilha2" sheetId="6" r:id="rId6"/>
  </sheets>
  <definedNames>
    <definedName name="_xlnm._FilterDatabase" localSheetId="4" hidden="1">Planilha5!$A$1:$S$70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71" i="6" l="1"/>
  <c r="Q71" i="6"/>
  <c r="S71" i="6" s="1"/>
  <c r="N71" i="6"/>
  <c r="S70" i="6"/>
  <c r="R70" i="6"/>
  <c r="Q70" i="6"/>
  <c r="N70" i="6"/>
  <c r="R69" i="6"/>
  <c r="Q69" i="6"/>
  <c r="S69" i="6" s="1"/>
  <c r="N69" i="6"/>
  <c r="R68" i="6"/>
  <c r="Q68" i="6"/>
  <c r="S68" i="6" s="1"/>
  <c r="N68" i="6"/>
  <c r="S67" i="6"/>
  <c r="R67" i="6"/>
  <c r="Q67" i="6"/>
  <c r="N67" i="6"/>
  <c r="S66" i="6"/>
  <c r="R66" i="6"/>
  <c r="Q66" i="6"/>
  <c r="N66" i="6"/>
  <c r="R65" i="6"/>
  <c r="Q65" i="6"/>
  <c r="S65" i="6" s="1"/>
  <c r="N65" i="6"/>
  <c r="R64" i="6"/>
  <c r="Q64" i="6"/>
  <c r="S64" i="6" s="1"/>
  <c r="N64" i="6"/>
  <c r="S63" i="6"/>
  <c r="R63" i="6"/>
  <c r="Q63" i="6"/>
  <c r="N63" i="6"/>
  <c r="S62" i="6"/>
  <c r="R62" i="6"/>
  <c r="Q62" i="6"/>
  <c r="N62" i="6"/>
  <c r="R61" i="6"/>
  <c r="Q61" i="6"/>
  <c r="S61" i="6" s="1"/>
  <c r="N61" i="6"/>
  <c r="R60" i="6"/>
  <c r="Q60" i="6"/>
  <c r="S60" i="6" s="1"/>
  <c r="N60" i="6"/>
  <c r="S59" i="6"/>
  <c r="R59" i="6"/>
  <c r="Q59" i="6"/>
  <c r="N59" i="6"/>
  <c r="S58" i="6"/>
  <c r="R58" i="6"/>
  <c r="Q58" i="6"/>
  <c r="N58" i="6"/>
  <c r="R57" i="6"/>
  <c r="Q57" i="6"/>
  <c r="S57" i="6" s="1"/>
  <c r="N57" i="6"/>
  <c r="R56" i="6"/>
  <c r="Q56" i="6"/>
  <c r="S56" i="6" s="1"/>
  <c r="N56" i="6"/>
  <c r="S55" i="6"/>
  <c r="R55" i="6"/>
  <c r="Q55" i="6"/>
  <c r="N55" i="6"/>
  <c r="S54" i="6"/>
  <c r="R54" i="6"/>
  <c r="Q54" i="6"/>
  <c r="N54" i="6"/>
  <c r="R53" i="6"/>
  <c r="Q53" i="6"/>
  <c r="S53" i="6" s="1"/>
  <c r="N53" i="6"/>
  <c r="R52" i="6"/>
  <c r="Q52" i="6"/>
  <c r="S52" i="6" s="1"/>
  <c r="N52" i="6"/>
  <c r="S51" i="6"/>
  <c r="R51" i="6"/>
  <c r="Q51" i="6"/>
  <c r="N51" i="6"/>
  <c r="S50" i="6"/>
  <c r="R50" i="6"/>
  <c r="Q50" i="6"/>
  <c r="N50" i="6"/>
  <c r="R49" i="6"/>
  <c r="Q49" i="6"/>
  <c r="S49" i="6" s="1"/>
  <c r="N49" i="6"/>
  <c r="R48" i="6"/>
  <c r="Q48" i="6"/>
  <c r="S48" i="6" s="1"/>
  <c r="N48" i="6"/>
  <c r="S47" i="6"/>
  <c r="R47" i="6"/>
  <c r="Q47" i="6"/>
  <c r="N47" i="6"/>
  <c r="S46" i="6"/>
  <c r="R46" i="6"/>
  <c r="Q46" i="6"/>
  <c r="N46" i="6"/>
  <c r="R45" i="6"/>
  <c r="Q45" i="6"/>
  <c r="S45" i="6" s="1"/>
  <c r="N45" i="6"/>
  <c r="R44" i="6"/>
  <c r="Q44" i="6"/>
  <c r="S44" i="6" s="1"/>
  <c r="N44" i="6"/>
  <c r="S43" i="6"/>
  <c r="R43" i="6"/>
  <c r="Q43" i="6"/>
  <c r="N43" i="6"/>
  <c r="S42" i="6"/>
  <c r="R42" i="6"/>
  <c r="Q42" i="6"/>
  <c r="N42" i="6"/>
  <c r="R41" i="6"/>
  <c r="Q41" i="6"/>
  <c r="S41" i="6" s="1"/>
  <c r="N41" i="6"/>
  <c r="R40" i="6"/>
  <c r="Q40" i="6"/>
  <c r="S40" i="6" s="1"/>
  <c r="N40" i="6"/>
  <c r="S39" i="6"/>
  <c r="R39" i="6"/>
  <c r="Q39" i="6"/>
  <c r="N39" i="6"/>
  <c r="S38" i="6"/>
  <c r="R38" i="6"/>
  <c r="Q38" i="6"/>
  <c r="N38" i="6"/>
  <c r="R37" i="6"/>
  <c r="Q37" i="6"/>
  <c r="S37" i="6" s="1"/>
  <c r="N37" i="6"/>
  <c r="R36" i="6"/>
  <c r="Q36" i="6"/>
  <c r="S36" i="6" s="1"/>
  <c r="N36" i="6"/>
  <c r="S35" i="6"/>
  <c r="R35" i="6"/>
  <c r="Q35" i="6"/>
  <c r="N35" i="6"/>
  <c r="S34" i="6"/>
  <c r="R34" i="6"/>
  <c r="Q34" i="6"/>
  <c r="N34" i="6"/>
  <c r="R33" i="6"/>
  <c r="Q33" i="6"/>
  <c r="S33" i="6" s="1"/>
  <c r="N33" i="6"/>
  <c r="R32" i="6"/>
  <c r="Q32" i="6"/>
  <c r="S32" i="6" s="1"/>
  <c r="N32" i="6"/>
  <c r="S31" i="6"/>
  <c r="R31" i="6"/>
  <c r="Q31" i="6"/>
  <c r="N31" i="6"/>
  <c r="S30" i="6"/>
  <c r="R30" i="6"/>
  <c r="Q30" i="6"/>
  <c r="N30" i="6"/>
  <c r="R29" i="6"/>
  <c r="Q29" i="6"/>
  <c r="S29" i="6" s="1"/>
  <c r="N29" i="6"/>
  <c r="R28" i="6"/>
  <c r="Q28" i="6"/>
  <c r="S28" i="6" s="1"/>
  <c r="N28" i="6"/>
  <c r="S27" i="6"/>
  <c r="R27" i="6"/>
  <c r="Q27" i="6"/>
  <c r="N27" i="6"/>
  <c r="S26" i="6"/>
  <c r="R26" i="6"/>
  <c r="Q26" i="6"/>
  <c r="N26" i="6"/>
  <c r="R25" i="6"/>
  <c r="Q25" i="6"/>
  <c r="S25" i="6" s="1"/>
  <c r="N25" i="6"/>
  <c r="R24" i="6"/>
  <c r="Q24" i="6"/>
  <c r="S24" i="6" s="1"/>
  <c r="N24" i="6"/>
  <c r="S23" i="6"/>
  <c r="R23" i="6"/>
  <c r="Q23" i="6"/>
  <c r="N23" i="6"/>
  <c r="S22" i="6"/>
  <c r="R22" i="6"/>
  <c r="Q22" i="6"/>
  <c r="N22" i="6"/>
  <c r="R21" i="6"/>
  <c r="Q21" i="6"/>
  <c r="S21" i="6" s="1"/>
  <c r="N21" i="6"/>
  <c r="R20" i="6"/>
  <c r="Q20" i="6"/>
  <c r="S20" i="6" s="1"/>
  <c r="N20" i="6"/>
  <c r="S19" i="6"/>
  <c r="R19" i="6"/>
  <c r="Q19" i="6"/>
  <c r="N19" i="6"/>
  <c r="S18" i="6"/>
  <c r="R18" i="6"/>
  <c r="Q18" i="6"/>
  <c r="N18" i="6"/>
  <c r="R17" i="6"/>
  <c r="Q17" i="6"/>
  <c r="S17" i="6" s="1"/>
  <c r="N17" i="6"/>
  <c r="R16" i="6"/>
  <c r="Q16" i="6"/>
  <c r="S16" i="6" s="1"/>
  <c r="N16" i="6"/>
  <c r="S15" i="6"/>
  <c r="R15" i="6"/>
  <c r="Q15" i="6"/>
  <c r="N15" i="6"/>
  <c r="S14" i="6"/>
  <c r="R14" i="6"/>
  <c r="Q14" i="6"/>
  <c r="N14" i="6"/>
  <c r="R13" i="6"/>
  <c r="Q13" i="6"/>
  <c r="S13" i="6" s="1"/>
  <c r="N13" i="6"/>
  <c r="S12" i="6"/>
  <c r="N12" i="6"/>
  <c r="R11" i="6"/>
  <c r="S11" i="6" s="1"/>
  <c r="Q11" i="6"/>
  <c r="N11" i="6"/>
  <c r="R10" i="6"/>
  <c r="Q10" i="6"/>
  <c r="S10" i="6" s="1"/>
  <c r="N10" i="6"/>
  <c r="R9" i="6"/>
  <c r="Q9" i="6"/>
  <c r="S9" i="6" s="1"/>
  <c r="N9" i="6"/>
  <c r="R8" i="6"/>
  <c r="Q8" i="6"/>
  <c r="S8" i="6" s="1"/>
  <c r="N8" i="6"/>
  <c r="R7" i="6"/>
  <c r="S7" i="6" s="1"/>
  <c r="Q7" i="6"/>
  <c r="N7" i="6"/>
  <c r="R6" i="6"/>
  <c r="Q6" i="6"/>
  <c r="S6" i="6" s="1"/>
  <c r="N6" i="6"/>
  <c r="R5" i="6"/>
  <c r="Q5" i="6"/>
  <c r="S5" i="6" s="1"/>
  <c r="N5" i="6"/>
  <c r="R4" i="6"/>
  <c r="Q4" i="6"/>
  <c r="S4" i="6" s="1"/>
  <c r="N4" i="6"/>
  <c r="R3" i="6"/>
  <c r="S3" i="6" s="1"/>
  <c r="Q3" i="6"/>
  <c r="N3" i="6"/>
  <c r="R70" i="5"/>
  <c r="Q70" i="5"/>
  <c r="S70" i="5" s="1"/>
  <c r="N70" i="5"/>
  <c r="R69" i="5"/>
  <c r="Q69" i="5"/>
  <c r="S69" i="5" s="1"/>
  <c r="N69" i="5"/>
  <c r="R68" i="5"/>
  <c r="Q68" i="5"/>
  <c r="S68" i="5" s="1"/>
  <c r="N68" i="5"/>
  <c r="R67" i="5"/>
  <c r="Q67" i="5"/>
  <c r="S67" i="5" s="1"/>
  <c r="N67" i="5"/>
  <c r="S66" i="5"/>
  <c r="R66" i="5"/>
  <c r="Q66" i="5"/>
  <c r="N66" i="5"/>
  <c r="S65" i="5"/>
  <c r="R65" i="5"/>
  <c r="Q65" i="5"/>
  <c r="N65" i="5"/>
  <c r="S64" i="5"/>
  <c r="R64" i="5"/>
  <c r="Q64" i="5"/>
  <c r="N64" i="5"/>
  <c r="S63" i="5"/>
  <c r="R63" i="5"/>
  <c r="Q63" i="5"/>
  <c r="N63" i="5"/>
  <c r="S62" i="5"/>
  <c r="R62" i="5"/>
  <c r="Q62" i="5"/>
  <c r="N62" i="5"/>
  <c r="S61" i="5"/>
  <c r="R61" i="5"/>
  <c r="Q61" i="5"/>
  <c r="N61" i="5"/>
  <c r="S60" i="5"/>
  <c r="R60" i="5"/>
  <c r="Q60" i="5"/>
  <c r="N60" i="5"/>
  <c r="S59" i="5"/>
  <c r="R59" i="5"/>
  <c r="Q59" i="5"/>
  <c r="N59" i="5"/>
  <c r="S58" i="5"/>
  <c r="R58" i="5"/>
  <c r="Q58" i="5"/>
  <c r="N58" i="5"/>
  <c r="S57" i="5"/>
  <c r="R57" i="5"/>
  <c r="Q57" i="5"/>
  <c r="N57" i="5"/>
  <c r="S56" i="5"/>
  <c r="R56" i="5"/>
  <c r="Q56" i="5"/>
  <c r="N56" i="5"/>
  <c r="S55" i="5"/>
  <c r="R55" i="5"/>
  <c r="Q55" i="5"/>
  <c r="N55" i="5"/>
  <c r="S54" i="5"/>
  <c r="R54" i="5"/>
  <c r="Q54" i="5"/>
  <c r="N54" i="5"/>
  <c r="S53" i="5"/>
  <c r="R53" i="5"/>
  <c r="Q53" i="5"/>
  <c r="N53" i="5"/>
  <c r="S52" i="5"/>
  <c r="R52" i="5"/>
  <c r="Q52" i="5"/>
  <c r="N52" i="5"/>
  <c r="S51" i="5"/>
  <c r="R51" i="5"/>
  <c r="Q51" i="5"/>
  <c r="N51" i="5"/>
  <c r="S50" i="5"/>
  <c r="R50" i="5"/>
  <c r="Q50" i="5"/>
  <c r="N50" i="5"/>
  <c r="S49" i="5"/>
  <c r="R49" i="5"/>
  <c r="Q49" i="5"/>
  <c r="N49" i="5"/>
  <c r="S48" i="5"/>
  <c r="R48" i="5"/>
  <c r="Q48" i="5"/>
  <c r="N48" i="5"/>
  <c r="S47" i="5"/>
  <c r="R47" i="5"/>
  <c r="Q47" i="5"/>
  <c r="N47" i="5"/>
  <c r="S46" i="5"/>
  <c r="R46" i="5"/>
  <c r="Q46" i="5"/>
  <c r="N46" i="5"/>
  <c r="S45" i="5"/>
  <c r="R45" i="5"/>
  <c r="Q45" i="5"/>
  <c r="N45" i="5"/>
  <c r="S44" i="5"/>
  <c r="R44" i="5"/>
  <c r="Q44" i="5"/>
  <c r="N44" i="5"/>
  <c r="S43" i="5"/>
  <c r="R43" i="5"/>
  <c r="Q43" i="5"/>
  <c r="N43" i="5"/>
  <c r="S42" i="5"/>
  <c r="R42" i="5"/>
  <c r="Q42" i="5"/>
  <c r="N42" i="5"/>
  <c r="S41" i="5"/>
  <c r="R41" i="5"/>
  <c r="Q41" i="5"/>
  <c r="N41" i="5"/>
  <c r="S40" i="5"/>
  <c r="R40" i="5"/>
  <c r="Q40" i="5"/>
  <c r="N40" i="5"/>
  <c r="S39" i="5"/>
  <c r="R39" i="5"/>
  <c r="Q39" i="5"/>
  <c r="N39" i="5"/>
  <c r="S38" i="5"/>
  <c r="R38" i="5"/>
  <c r="Q38" i="5"/>
  <c r="N38" i="5"/>
  <c r="S37" i="5"/>
  <c r="R37" i="5"/>
  <c r="Q37" i="5"/>
  <c r="N37" i="5"/>
  <c r="S36" i="5"/>
  <c r="R36" i="5"/>
  <c r="Q36" i="5"/>
  <c r="N36" i="5"/>
  <c r="S35" i="5"/>
  <c r="R35" i="5"/>
  <c r="Q35" i="5"/>
  <c r="N35" i="5"/>
  <c r="S34" i="5"/>
  <c r="R34" i="5"/>
  <c r="Q34" i="5"/>
  <c r="N34" i="5"/>
  <c r="S33" i="5"/>
  <c r="R33" i="5"/>
  <c r="Q33" i="5"/>
  <c r="N33" i="5"/>
  <c r="S32" i="5"/>
  <c r="R32" i="5"/>
  <c r="Q32" i="5"/>
  <c r="N32" i="5"/>
  <c r="S31" i="5"/>
  <c r="R31" i="5"/>
  <c r="Q31" i="5"/>
  <c r="N31" i="5"/>
  <c r="S30" i="5"/>
  <c r="R30" i="5"/>
  <c r="Q30" i="5"/>
  <c r="N30" i="5"/>
  <c r="S29" i="5"/>
  <c r="R29" i="5"/>
  <c r="Q29" i="5"/>
  <c r="N29" i="5"/>
  <c r="S28" i="5"/>
  <c r="R28" i="5"/>
  <c r="Q28" i="5"/>
  <c r="N28" i="5"/>
  <c r="S27" i="5"/>
  <c r="R27" i="5"/>
  <c r="Q27" i="5"/>
  <c r="N27" i="5"/>
  <c r="S26" i="5"/>
  <c r="R26" i="5"/>
  <c r="Q26" i="5"/>
  <c r="N26" i="5"/>
  <c r="S25" i="5"/>
  <c r="R25" i="5"/>
  <c r="Q25" i="5"/>
  <c r="N25" i="5"/>
  <c r="S24" i="5"/>
  <c r="R24" i="5"/>
  <c r="Q24" i="5"/>
  <c r="N24" i="5"/>
  <c r="S23" i="5"/>
  <c r="R23" i="5"/>
  <c r="Q23" i="5"/>
  <c r="N23" i="5"/>
  <c r="S22" i="5"/>
  <c r="R22" i="5"/>
  <c r="Q22" i="5"/>
  <c r="N22" i="5"/>
  <c r="S21" i="5"/>
  <c r="R21" i="5"/>
  <c r="Q21" i="5"/>
  <c r="N21" i="5"/>
  <c r="S20" i="5"/>
  <c r="R20" i="5"/>
  <c r="Q20" i="5"/>
  <c r="N20" i="5"/>
  <c r="S19" i="5"/>
  <c r="R19" i="5"/>
  <c r="Q19" i="5"/>
  <c r="N19" i="5"/>
  <c r="S18" i="5"/>
  <c r="R18" i="5"/>
  <c r="Q18" i="5"/>
  <c r="N18" i="5"/>
  <c r="S17" i="5"/>
  <c r="R17" i="5"/>
  <c r="Q17" i="5"/>
  <c r="N17" i="5"/>
  <c r="S16" i="5"/>
  <c r="R16" i="5"/>
  <c r="Q16" i="5"/>
  <c r="N16" i="5"/>
  <c r="S15" i="5"/>
  <c r="R15" i="5"/>
  <c r="Q15" i="5"/>
  <c r="N15" i="5"/>
  <c r="S14" i="5"/>
  <c r="R14" i="5"/>
  <c r="Q14" i="5"/>
  <c r="N14" i="5"/>
  <c r="S13" i="5"/>
  <c r="N13" i="5"/>
  <c r="R12" i="5"/>
  <c r="Q12" i="5"/>
  <c r="S12" i="5" s="1"/>
  <c r="N12" i="5"/>
  <c r="R11" i="5"/>
  <c r="Q11" i="5"/>
  <c r="S11" i="5" s="1"/>
  <c r="N11" i="5"/>
  <c r="R10" i="5"/>
  <c r="Q10" i="5"/>
  <c r="S10" i="5" s="1"/>
  <c r="N10" i="5"/>
  <c r="R9" i="5"/>
  <c r="Q9" i="5"/>
  <c r="S9" i="5" s="1"/>
  <c r="N9" i="5"/>
  <c r="R8" i="5"/>
  <c r="Q8" i="5"/>
  <c r="S8" i="5" s="1"/>
  <c r="N8" i="5"/>
  <c r="R7" i="5"/>
  <c r="Q7" i="5"/>
  <c r="S7" i="5" s="1"/>
  <c r="N7" i="5"/>
  <c r="R6" i="5"/>
  <c r="Q6" i="5"/>
  <c r="S6" i="5" s="1"/>
  <c r="N6" i="5"/>
  <c r="R5" i="5"/>
  <c r="Q5" i="5"/>
  <c r="S5" i="5" s="1"/>
  <c r="N5" i="5"/>
  <c r="S4" i="5"/>
  <c r="R4" i="5"/>
  <c r="Q4" i="5"/>
  <c r="N4" i="5"/>
  <c r="S3" i="5"/>
  <c r="R3" i="5"/>
  <c r="Q3" i="5"/>
  <c r="N3" i="5"/>
  <c r="S2" i="5"/>
  <c r="R2" i="5"/>
  <c r="Q2" i="5"/>
  <c r="N2" i="5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G2" i="4"/>
  <c r="F2" i="4"/>
  <c r="S12" i="3"/>
  <c r="R12" i="3"/>
  <c r="Q12" i="3"/>
  <c r="N12" i="3"/>
  <c r="S11" i="3"/>
  <c r="R11" i="3"/>
  <c r="Q11" i="3"/>
  <c r="N11" i="3"/>
  <c r="S10" i="3"/>
  <c r="R10" i="3"/>
  <c r="Q10" i="3"/>
  <c r="N10" i="3"/>
  <c r="S9" i="3"/>
  <c r="R9" i="3"/>
  <c r="Q9" i="3"/>
  <c r="N9" i="3"/>
  <c r="S8" i="3"/>
  <c r="R8" i="3"/>
  <c r="Q8" i="3"/>
  <c r="N8" i="3"/>
  <c r="S7" i="3"/>
  <c r="R7" i="3"/>
  <c r="Q7" i="3"/>
  <c r="N7" i="3"/>
  <c r="S6" i="3"/>
  <c r="R6" i="3"/>
  <c r="Q6" i="3"/>
  <c r="N6" i="3"/>
  <c r="S5" i="3"/>
  <c r="R5" i="3"/>
  <c r="Q5" i="3"/>
  <c r="N5" i="3"/>
  <c r="S4" i="3"/>
  <c r="R4" i="3"/>
  <c r="Q4" i="3"/>
  <c r="N4" i="3"/>
  <c r="S3" i="3"/>
  <c r="R3" i="3"/>
  <c r="Q3" i="3"/>
  <c r="N3" i="3"/>
  <c r="S71" i="2"/>
  <c r="R71" i="2"/>
  <c r="Q71" i="2"/>
  <c r="N71" i="2"/>
  <c r="S70" i="2"/>
  <c r="R70" i="2"/>
  <c r="Q70" i="2"/>
  <c r="N70" i="2"/>
  <c r="S69" i="2"/>
  <c r="R69" i="2"/>
  <c r="Q69" i="2"/>
  <c r="N69" i="2"/>
  <c r="S68" i="2"/>
  <c r="R68" i="2"/>
  <c r="Q68" i="2"/>
  <c r="N68" i="2"/>
  <c r="S67" i="2"/>
  <c r="R67" i="2"/>
  <c r="Q67" i="2"/>
  <c r="N67" i="2"/>
  <c r="S66" i="2"/>
  <c r="R66" i="2"/>
  <c r="Q66" i="2"/>
  <c r="N66" i="2"/>
  <c r="S65" i="2"/>
  <c r="R65" i="2"/>
  <c r="Q65" i="2"/>
  <c r="N65" i="2"/>
  <c r="S64" i="2"/>
  <c r="R64" i="2"/>
  <c r="Q64" i="2"/>
  <c r="N64" i="2"/>
  <c r="S63" i="2"/>
  <c r="R63" i="2"/>
  <c r="Q63" i="2"/>
  <c r="N63" i="2"/>
  <c r="S62" i="2"/>
  <c r="R62" i="2"/>
  <c r="Q62" i="2"/>
  <c r="N62" i="2"/>
  <c r="S61" i="2"/>
  <c r="R61" i="2"/>
  <c r="Q61" i="2"/>
  <c r="N61" i="2"/>
  <c r="S60" i="2"/>
  <c r="R60" i="2"/>
  <c r="Q60" i="2"/>
  <c r="N60" i="2"/>
  <c r="S59" i="2"/>
  <c r="R59" i="2"/>
  <c r="Q59" i="2"/>
  <c r="N59" i="2"/>
  <c r="S58" i="2"/>
  <c r="R58" i="2"/>
  <c r="Q58" i="2"/>
  <c r="N58" i="2"/>
  <c r="S57" i="2"/>
  <c r="R57" i="2"/>
  <c r="Q57" i="2"/>
  <c r="N57" i="2"/>
  <c r="S56" i="2"/>
  <c r="R56" i="2"/>
  <c r="Q56" i="2"/>
  <c r="N56" i="2"/>
  <c r="S55" i="2"/>
  <c r="R55" i="2"/>
  <c r="Q55" i="2"/>
  <c r="N55" i="2"/>
  <c r="S54" i="2"/>
  <c r="R54" i="2"/>
  <c r="Q54" i="2"/>
  <c r="N54" i="2"/>
  <c r="S53" i="2"/>
  <c r="R53" i="2"/>
  <c r="Q53" i="2"/>
  <c r="N53" i="2"/>
  <c r="S52" i="2"/>
  <c r="R52" i="2"/>
  <c r="Q52" i="2"/>
  <c r="N52" i="2"/>
  <c r="S51" i="2"/>
  <c r="R51" i="2"/>
  <c r="Q51" i="2"/>
  <c r="N51" i="2"/>
  <c r="S50" i="2"/>
  <c r="R50" i="2"/>
  <c r="Q50" i="2"/>
  <c r="N50" i="2"/>
  <c r="S49" i="2"/>
  <c r="R49" i="2"/>
  <c r="Q49" i="2"/>
  <c r="N49" i="2"/>
  <c r="S48" i="2"/>
  <c r="R48" i="2"/>
  <c r="Q48" i="2"/>
  <c r="N48" i="2"/>
  <c r="S47" i="2"/>
  <c r="R47" i="2"/>
  <c r="Q47" i="2"/>
  <c r="N47" i="2"/>
  <c r="S46" i="2"/>
  <c r="R46" i="2"/>
  <c r="Q46" i="2"/>
  <c r="N46" i="2"/>
  <c r="S45" i="2"/>
  <c r="R45" i="2"/>
  <c r="Q45" i="2"/>
  <c r="N45" i="2"/>
  <c r="S44" i="2"/>
  <c r="R44" i="2"/>
  <c r="Q44" i="2"/>
  <c r="N44" i="2"/>
  <c r="S43" i="2"/>
  <c r="R43" i="2"/>
  <c r="Q43" i="2"/>
  <c r="N43" i="2"/>
  <c r="S42" i="2"/>
  <c r="R42" i="2"/>
  <c r="Q42" i="2"/>
  <c r="N42" i="2"/>
  <c r="S41" i="2"/>
  <c r="R41" i="2"/>
  <c r="Q41" i="2"/>
  <c r="N41" i="2"/>
  <c r="S40" i="2"/>
  <c r="R40" i="2"/>
  <c r="Q40" i="2"/>
  <c r="N40" i="2"/>
  <c r="S39" i="2"/>
  <c r="R39" i="2"/>
  <c r="Q39" i="2"/>
  <c r="N39" i="2"/>
  <c r="S38" i="2"/>
  <c r="R38" i="2"/>
  <c r="Q38" i="2"/>
  <c r="N38" i="2"/>
  <c r="S37" i="2"/>
  <c r="R37" i="2"/>
  <c r="Q37" i="2"/>
  <c r="N37" i="2"/>
  <c r="S36" i="2"/>
  <c r="R36" i="2"/>
  <c r="Q36" i="2"/>
  <c r="N36" i="2"/>
  <c r="S35" i="2"/>
  <c r="R35" i="2"/>
  <c r="Q35" i="2"/>
  <c r="N35" i="2"/>
  <c r="S34" i="2"/>
  <c r="R34" i="2"/>
  <c r="Q34" i="2"/>
  <c r="N34" i="2"/>
  <c r="S33" i="2"/>
  <c r="R33" i="2"/>
  <c r="Q33" i="2"/>
  <c r="N33" i="2"/>
  <c r="S32" i="2"/>
  <c r="R32" i="2"/>
  <c r="Q32" i="2"/>
  <c r="N32" i="2"/>
  <c r="S31" i="2"/>
  <c r="R31" i="2"/>
  <c r="Q31" i="2"/>
  <c r="N31" i="2"/>
  <c r="S30" i="2"/>
  <c r="R30" i="2"/>
  <c r="Q30" i="2"/>
  <c r="N30" i="2"/>
  <c r="S29" i="2"/>
  <c r="R29" i="2"/>
  <c r="Q29" i="2"/>
  <c r="N29" i="2"/>
  <c r="S28" i="2"/>
  <c r="R28" i="2"/>
  <c r="Q28" i="2"/>
  <c r="N28" i="2"/>
  <c r="S27" i="2"/>
  <c r="R27" i="2"/>
  <c r="Q27" i="2"/>
  <c r="N27" i="2"/>
  <c r="S26" i="2"/>
  <c r="R26" i="2"/>
  <c r="Q26" i="2"/>
  <c r="N26" i="2"/>
  <c r="S25" i="2"/>
  <c r="R25" i="2"/>
  <c r="Q25" i="2"/>
  <c r="N25" i="2"/>
  <c r="S24" i="2"/>
  <c r="R24" i="2"/>
  <c r="Q24" i="2"/>
  <c r="N24" i="2"/>
  <c r="S23" i="2"/>
  <c r="R23" i="2"/>
  <c r="Q23" i="2"/>
  <c r="N23" i="2"/>
  <c r="S22" i="2"/>
  <c r="R22" i="2"/>
  <c r="Q22" i="2"/>
  <c r="N22" i="2"/>
  <c r="S21" i="2"/>
  <c r="R21" i="2"/>
  <c r="Q21" i="2"/>
  <c r="N21" i="2"/>
  <c r="S20" i="2"/>
  <c r="R20" i="2"/>
  <c r="Q20" i="2"/>
  <c r="N20" i="2"/>
  <c r="S19" i="2"/>
  <c r="R19" i="2"/>
  <c r="Q19" i="2"/>
  <c r="N19" i="2"/>
  <c r="S18" i="2"/>
  <c r="R18" i="2"/>
  <c r="Q18" i="2"/>
  <c r="N18" i="2"/>
  <c r="S17" i="2"/>
  <c r="R17" i="2"/>
  <c r="Q17" i="2"/>
  <c r="N17" i="2"/>
  <c r="S16" i="2"/>
  <c r="R16" i="2"/>
  <c r="Q16" i="2"/>
  <c r="N16" i="2"/>
  <c r="S15" i="2"/>
  <c r="R15" i="2"/>
  <c r="Q15" i="2"/>
  <c r="N15" i="2"/>
  <c r="S14" i="2"/>
  <c r="R14" i="2"/>
  <c r="Q14" i="2"/>
  <c r="N14" i="2"/>
  <c r="S13" i="2"/>
  <c r="R13" i="2"/>
  <c r="Q13" i="2"/>
  <c r="N13" i="2"/>
  <c r="S12" i="2"/>
  <c r="N12" i="2"/>
  <c r="R11" i="2"/>
  <c r="Q11" i="2"/>
  <c r="S11" i="2" s="1"/>
  <c r="N11" i="2"/>
  <c r="R10" i="2"/>
  <c r="Q10" i="2"/>
  <c r="S10" i="2" s="1"/>
  <c r="N10" i="2"/>
  <c r="R9" i="2"/>
  <c r="Q9" i="2"/>
  <c r="S9" i="2" s="1"/>
  <c r="N9" i="2"/>
  <c r="R8" i="2"/>
  <c r="Q8" i="2"/>
  <c r="S8" i="2" s="1"/>
  <c r="N8" i="2"/>
  <c r="R7" i="2"/>
  <c r="Q7" i="2"/>
  <c r="S7" i="2" s="1"/>
  <c r="N7" i="2"/>
  <c r="R6" i="2"/>
  <c r="Q6" i="2"/>
  <c r="S6" i="2" s="1"/>
  <c r="N6" i="2"/>
  <c r="R5" i="2"/>
  <c r="Q5" i="2"/>
  <c r="S5" i="2" s="1"/>
  <c r="N5" i="2"/>
  <c r="R4" i="2"/>
  <c r="Q4" i="2"/>
  <c r="S4" i="2" s="1"/>
  <c r="N4" i="2"/>
  <c r="R3" i="2"/>
  <c r="Q3" i="2"/>
  <c r="S3" i="2" s="1"/>
  <c r="N3" i="2"/>
  <c r="R71" i="1"/>
  <c r="Q71" i="1"/>
  <c r="S71" i="1" s="1"/>
  <c r="N71" i="1"/>
  <c r="R70" i="1"/>
  <c r="Q70" i="1"/>
  <c r="S70" i="1" s="1"/>
  <c r="N70" i="1"/>
  <c r="R69" i="1"/>
  <c r="Q69" i="1"/>
  <c r="S69" i="1" s="1"/>
  <c r="N69" i="1"/>
  <c r="R68" i="1"/>
  <c r="Q68" i="1"/>
  <c r="S68" i="1" s="1"/>
  <c r="N68" i="1"/>
  <c r="R67" i="1"/>
  <c r="Q67" i="1"/>
  <c r="S67" i="1" s="1"/>
  <c r="N67" i="1"/>
  <c r="R66" i="1"/>
  <c r="Q66" i="1"/>
  <c r="S66" i="1" s="1"/>
  <c r="N66" i="1"/>
  <c r="R65" i="1"/>
  <c r="Q65" i="1"/>
  <c r="S65" i="1" s="1"/>
  <c r="N65" i="1"/>
  <c r="R64" i="1"/>
  <c r="Q64" i="1"/>
  <c r="S64" i="1" s="1"/>
  <c r="N64" i="1"/>
  <c r="R63" i="1"/>
  <c r="Q63" i="1"/>
  <c r="S63" i="1" s="1"/>
  <c r="N63" i="1"/>
  <c r="R62" i="1"/>
  <c r="Q62" i="1"/>
  <c r="S62" i="1" s="1"/>
  <c r="N62" i="1"/>
  <c r="R61" i="1"/>
  <c r="Q61" i="1"/>
  <c r="S61" i="1" s="1"/>
  <c r="N61" i="1"/>
  <c r="R60" i="1"/>
  <c r="Q60" i="1"/>
  <c r="S60" i="1" s="1"/>
  <c r="N60" i="1"/>
  <c r="R59" i="1"/>
  <c r="Q59" i="1"/>
  <c r="S59" i="1" s="1"/>
  <c r="N59" i="1"/>
  <c r="R58" i="1"/>
  <c r="Q58" i="1"/>
  <c r="S58" i="1" s="1"/>
  <c r="N58" i="1"/>
  <c r="R57" i="1"/>
  <c r="Q57" i="1"/>
  <c r="S57" i="1" s="1"/>
  <c r="N57" i="1"/>
  <c r="R56" i="1"/>
  <c r="Q56" i="1"/>
  <c r="S56" i="1" s="1"/>
  <c r="N56" i="1"/>
  <c r="R55" i="1"/>
  <c r="Q55" i="1"/>
  <c r="S55" i="1" s="1"/>
  <c r="N55" i="1"/>
  <c r="R54" i="1"/>
  <c r="Q54" i="1"/>
  <c r="S54" i="1" s="1"/>
  <c r="N54" i="1"/>
  <c r="R53" i="1"/>
  <c r="Q53" i="1"/>
  <c r="S53" i="1" s="1"/>
  <c r="N53" i="1"/>
  <c r="R52" i="1"/>
  <c r="Q52" i="1"/>
  <c r="S52" i="1" s="1"/>
  <c r="N52" i="1"/>
  <c r="R51" i="1"/>
  <c r="Q51" i="1"/>
  <c r="S51" i="1" s="1"/>
  <c r="N51" i="1"/>
  <c r="R50" i="1"/>
  <c r="Q50" i="1"/>
  <c r="S50" i="1" s="1"/>
  <c r="N50" i="1"/>
  <c r="R49" i="1"/>
  <c r="Q49" i="1"/>
  <c r="S49" i="1" s="1"/>
  <c r="N49" i="1"/>
  <c r="R48" i="1"/>
  <c r="Q48" i="1"/>
  <c r="S48" i="1" s="1"/>
  <c r="N48" i="1"/>
  <c r="R47" i="1"/>
  <c r="Q47" i="1"/>
  <c r="S47" i="1" s="1"/>
  <c r="N47" i="1"/>
  <c r="R46" i="1"/>
  <c r="Q46" i="1"/>
  <c r="S46" i="1" s="1"/>
  <c r="N46" i="1"/>
  <c r="R45" i="1"/>
  <c r="Q45" i="1"/>
  <c r="S45" i="1" s="1"/>
  <c r="N45" i="1"/>
  <c r="R44" i="1"/>
  <c r="Q44" i="1"/>
  <c r="S44" i="1" s="1"/>
  <c r="N44" i="1"/>
  <c r="R43" i="1"/>
  <c r="Q43" i="1"/>
  <c r="S43" i="1" s="1"/>
  <c r="N43" i="1"/>
  <c r="R42" i="1"/>
  <c r="Q42" i="1"/>
  <c r="S42" i="1" s="1"/>
  <c r="N42" i="1"/>
  <c r="R41" i="1"/>
  <c r="Q41" i="1"/>
  <c r="S41" i="1" s="1"/>
  <c r="N41" i="1"/>
  <c r="R40" i="1"/>
  <c r="Q40" i="1"/>
  <c r="S40" i="1" s="1"/>
  <c r="N40" i="1"/>
  <c r="R39" i="1"/>
  <c r="Q39" i="1"/>
  <c r="S39" i="1" s="1"/>
  <c r="N39" i="1"/>
  <c r="R38" i="1"/>
  <c r="Q38" i="1"/>
  <c r="S38" i="1" s="1"/>
  <c r="N38" i="1"/>
  <c r="R37" i="1"/>
  <c r="Q37" i="1"/>
  <c r="S37" i="1" s="1"/>
  <c r="N37" i="1"/>
  <c r="R36" i="1"/>
  <c r="Q36" i="1"/>
  <c r="S36" i="1" s="1"/>
  <c r="N36" i="1"/>
  <c r="R35" i="1"/>
  <c r="Q35" i="1"/>
  <c r="S35" i="1" s="1"/>
  <c r="N35" i="1"/>
  <c r="R34" i="1"/>
  <c r="Q34" i="1"/>
  <c r="S34" i="1" s="1"/>
  <c r="N34" i="1"/>
  <c r="R33" i="1"/>
  <c r="Q33" i="1"/>
  <c r="S33" i="1" s="1"/>
  <c r="N33" i="1"/>
  <c r="R32" i="1"/>
  <c r="Q32" i="1"/>
  <c r="S32" i="1" s="1"/>
  <c r="N32" i="1"/>
  <c r="R31" i="1"/>
  <c r="Q31" i="1"/>
  <c r="S31" i="1" s="1"/>
  <c r="N31" i="1"/>
  <c r="R30" i="1"/>
  <c r="Q30" i="1"/>
  <c r="S30" i="1" s="1"/>
  <c r="N30" i="1"/>
  <c r="R29" i="1"/>
  <c r="Q29" i="1"/>
  <c r="S29" i="1" s="1"/>
  <c r="N29" i="1"/>
  <c r="R28" i="1"/>
  <c r="Q28" i="1"/>
  <c r="S28" i="1" s="1"/>
  <c r="N28" i="1"/>
  <c r="R27" i="1"/>
  <c r="Q27" i="1"/>
  <c r="S27" i="1" s="1"/>
  <c r="N27" i="1"/>
  <c r="R26" i="1"/>
  <c r="Q26" i="1"/>
  <c r="S26" i="1" s="1"/>
  <c r="N26" i="1"/>
  <c r="R25" i="1"/>
  <c r="Q25" i="1"/>
  <c r="S25" i="1" s="1"/>
  <c r="N25" i="1"/>
  <c r="R24" i="1"/>
  <c r="Q24" i="1"/>
  <c r="S24" i="1" s="1"/>
  <c r="N24" i="1"/>
  <c r="R23" i="1"/>
  <c r="Q23" i="1"/>
  <c r="S23" i="1" s="1"/>
  <c r="N23" i="1"/>
  <c r="R22" i="1"/>
  <c r="Q22" i="1"/>
  <c r="S22" i="1" s="1"/>
  <c r="N22" i="1"/>
  <c r="R21" i="1"/>
  <c r="Q21" i="1"/>
  <c r="S21" i="1" s="1"/>
  <c r="N21" i="1"/>
  <c r="R20" i="1"/>
  <c r="Q20" i="1"/>
  <c r="S20" i="1" s="1"/>
  <c r="N20" i="1"/>
  <c r="R19" i="1"/>
  <c r="Q19" i="1"/>
  <c r="S19" i="1" s="1"/>
  <c r="N19" i="1"/>
  <c r="R18" i="1"/>
  <c r="Q18" i="1"/>
  <c r="S18" i="1" s="1"/>
  <c r="N18" i="1"/>
  <c r="R17" i="1"/>
  <c r="Q17" i="1"/>
  <c r="S17" i="1" s="1"/>
  <c r="N17" i="1"/>
  <c r="R16" i="1"/>
  <c r="Q16" i="1"/>
  <c r="S16" i="1" s="1"/>
  <c r="N16" i="1"/>
  <c r="R15" i="1"/>
  <c r="Q15" i="1"/>
  <c r="S15" i="1" s="1"/>
  <c r="N15" i="1"/>
  <c r="S14" i="1"/>
  <c r="N14" i="1"/>
  <c r="S13" i="1"/>
  <c r="R13" i="1"/>
  <c r="Q13" i="1"/>
  <c r="N13" i="1"/>
  <c r="S12" i="1"/>
  <c r="R12" i="1"/>
  <c r="Q12" i="1"/>
  <c r="N12" i="1"/>
  <c r="S11" i="1"/>
  <c r="R11" i="1"/>
  <c r="Q11" i="1"/>
  <c r="N11" i="1"/>
  <c r="S10" i="1"/>
  <c r="R10" i="1"/>
  <c r="Q10" i="1"/>
  <c r="N10" i="1"/>
  <c r="S9" i="1"/>
  <c r="R9" i="1"/>
  <c r="Q9" i="1"/>
  <c r="N9" i="1"/>
  <c r="S8" i="1"/>
  <c r="R8" i="1"/>
  <c r="Q8" i="1"/>
  <c r="N8" i="1"/>
  <c r="S7" i="1"/>
  <c r="R7" i="1"/>
  <c r="Q7" i="1"/>
  <c r="N7" i="1"/>
  <c r="S6" i="1"/>
  <c r="R6" i="1"/>
  <c r="Q6" i="1"/>
  <c r="N6" i="1"/>
  <c r="S5" i="1"/>
  <c r="R5" i="1"/>
  <c r="Q5" i="1"/>
  <c r="N5" i="1"/>
  <c r="S4" i="1"/>
  <c r="R4" i="1"/>
  <c r="Q4" i="1"/>
  <c r="N4" i="1"/>
  <c r="S3" i="1"/>
  <c r="R3" i="1"/>
  <c r="Q3" i="1"/>
  <c r="N3" i="1"/>
</calcChain>
</file>

<file path=xl/sharedStrings.xml><?xml version="1.0" encoding="utf-8"?>
<sst xmlns="http://schemas.openxmlformats.org/spreadsheetml/2006/main" count="1562" uniqueCount="128">
  <si>
    <t>Instituições</t>
  </si>
  <si>
    <t>Oferta Licenciatura?</t>
  </si>
  <si>
    <t>Oferta em EaD Própria?</t>
  </si>
  <si>
    <t>Oferta pela UAB?</t>
  </si>
  <si>
    <t>Matrículas</t>
  </si>
  <si>
    <t>Sigla</t>
  </si>
  <si>
    <t>UF</t>
  </si>
  <si>
    <t>Em 2024?</t>
  </si>
  <si>
    <t>Campus</t>
  </si>
  <si>
    <t>Polos</t>
  </si>
  <si>
    <t>Cursos</t>
  </si>
  <si>
    <t>Situação</t>
  </si>
  <si>
    <t>Total</t>
  </si>
  <si>
    <t>Licenc</t>
  </si>
  <si>
    <t>Part</t>
  </si>
  <si>
    <t>EaD Prp</t>
  </si>
  <si>
    <t>UAB</t>
  </si>
  <si>
    <t>% EaD</t>
  </si>
  <si>
    <t>% UAB</t>
  </si>
  <si>
    <t>% Pres</t>
  </si>
  <si>
    <t>FURG</t>
  </si>
  <si>
    <t>RS</t>
  </si>
  <si>
    <t>Sim</t>
  </si>
  <si>
    <t>Até 2023</t>
  </si>
  <si>
    <t>UFABC</t>
  </si>
  <si>
    <t>SP</t>
  </si>
  <si>
    <t>Não</t>
  </si>
  <si>
    <t>UFAC</t>
  </si>
  <si>
    <t>AC</t>
  </si>
  <si>
    <t>UFAL</t>
  </si>
  <si>
    <t>AL</t>
  </si>
  <si>
    <t>UFAM</t>
  </si>
  <si>
    <t>AM</t>
  </si>
  <si>
    <t>UFAPE</t>
  </si>
  <si>
    <t>PE</t>
  </si>
  <si>
    <t>UFBA</t>
  </si>
  <si>
    <t>BA</t>
  </si>
  <si>
    <t>UFC</t>
  </si>
  <si>
    <t>CE</t>
  </si>
  <si>
    <t>Até 2020</t>
  </si>
  <si>
    <t>UFCA</t>
  </si>
  <si>
    <t>UFCAT</t>
  </si>
  <si>
    <t>GO</t>
  </si>
  <si>
    <t>UFCG</t>
  </si>
  <si>
    <t>PB</t>
  </si>
  <si>
    <t>UFCSPA</t>
  </si>
  <si>
    <t>UFDPAR</t>
  </si>
  <si>
    <t>PI</t>
  </si>
  <si>
    <t>UFERSA</t>
  </si>
  <si>
    <t>RN</t>
  </si>
  <si>
    <t>UFES</t>
  </si>
  <si>
    <t>ES</t>
  </si>
  <si>
    <t>UFF</t>
  </si>
  <si>
    <t>RJ</t>
  </si>
  <si>
    <t>UFFS</t>
  </si>
  <si>
    <t>SC</t>
  </si>
  <si>
    <t>UFG</t>
  </si>
  <si>
    <t>UFGD</t>
  </si>
  <si>
    <t>MS</t>
  </si>
  <si>
    <t>Até 2021</t>
  </si>
  <si>
    <t>UFJ</t>
  </si>
  <si>
    <t>UFJF</t>
  </si>
  <si>
    <t>MG</t>
  </si>
  <si>
    <t>UFLA</t>
  </si>
  <si>
    <t>UFMA</t>
  </si>
  <si>
    <t>MA</t>
  </si>
  <si>
    <t>UFMG</t>
  </si>
  <si>
    <t>Até 2018</t>
  </si>
  <si>
    <t>UFMS</t>
  </si>
  <si>
    <t>UFMT</t>
  </si>
  <si>
    <t>MT</t>
  </si>
  <si>
    <t>UFNT</t>
  </si>
  <si>
    <t>TO</t>
  </si>
  <si>
    <t>UFOB</t>
  </si>
  <si>
    <t>UFOP</t>
  </si>
  <si>
    <t>UFOPA</t>
  </si>
  <si>
    <t>PA</t>
  </si>
  <si>
    <t>UFPA</t>
  </si>
  <si>
    <t>UFPB</t>
  </si>
  <si>
    <t>UFPE</t>
  </si>
  <si>
    <t>UFPEL</t>
  </si>
  <si>
    <t>UFPI</t>
  </si>
  <si>
    <t>UFPR</t>
  </si>
  <si>
    <t>PR</t>
  </si>
  <si>
    <t>UFR</t>
  </si>
  <si>
    <t>UFRA</t>
  </si>
  <si>
    <t>UFRB</t>
  </si>
  <si>
    <t>UFRGS</t>
  </si>
  <si>
    <t>UFRJ</t>
  </si>
  <si>
    <t>UFRN</t>
  </si>
  <si>
    <t>UFRPE</t>
  </si>
  <si>
    <t>UFRR</t>
  </si>
  <si>
    <t>RR</t>
  </si>
  <si>
    <t>UFRRJ</t>
  </si>
  <si>
    <t>UFS</t>
  </si>
  <si>
    <t>SE</t>
  </si>
  <si>
    <t>UFSB</t>
  </si>
  <si>
    <t>UFSC</t>
  </si>
  <si>
    <t>UFSCAR</t>
  </si>
  <si>
    <t>UFSJ</t>
  </si>
  <si>
    <t>UFSM</t>
  </si>
  <si>
    <t>UFT</t>
  </si>
  <si>
    <t>UFTM</t>
  </si>
  <si>
    <t>UFU</t>
  </si>
  <si>
    <t>UFV</t>
  </si>
  <si>
    <t>Até 2016</t>
  </si>
  <si>
    <t>UFVJM</t>
  </si>
  <si>
    <t>UNB</t>
  </si>
  <si>
    <t>DF</t>
  </si>
  <si>
    <t>UNIFAL-MG</t>
  </si>
  <si>
    <t>Até 2022</t>
  </si>
  <si>
    <t>Até 2013</t>
  </si>
  <si>
    <t>UNIFAP</t>
  </si>
  <si>
    <t>AP</t>
  </si>
  <si>
    <t>UNIFEI</t>
  </si>
  <si>
    <t>UNIFESP</t>
  </si>
  <si>
    <t>UNIFESSPA</t>
  </si>
  <si>
    <t>UNILA</t>
  </si>
  <si>
    <t>UNILAB</t>
  </si>
  <si>
    <t>UNIPAMPA</t>
  </si>
  <si>
    <t>UNIR</t>
  </si>
  <si>
    <t>RO</t>
  </si>
  <si>
    <t>UNIRIO</t>
  </si>
  <si>
    <t>UNIVASF</t>
  </si>
  <si>
    <t>UTFPR</t>
  </si>
  <si>
    <t>IES</t>
  </si>
  <si>
    <t>Presencial</t>
  </si>
  <si>
    <t>%UAB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</si>
</sst>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b/>
      <sz val="10"/>
      <color theme="1"/>
      <name val="Times New Roman"/>
      <family val="1"/>
      <charset val="1"/>
    </font>
    <font>
      <b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D7"/>
        <bgColor rgb="FFF6F9D4"/>
      </patternFill>
    </fill>
    <fill>
      <patternFill patternType="solid">
        <fgColor rgb="FFFFFF00"/>
        <bgColor rgb="FFFFFF00"/>
      </patternFill>
    </fill>
    <fill>
      <patternFill patternType="solid">
        <fgColor rgb="FFFFE994"/>
        <bgColor rgb="FFFFD8CE"/>
      </patternFill>
    </fill>
    <fill>
      <patternFill patternType="solid">
        <fgColor rgb="FFAFD095"/>
        <bgColor rgb="FFB3B3B3"/>
      </patternFill>
    </fill>
    <fill>
      <patternFill patternType="solid">
        <fgColor rgb="FFFFD8CE"/>
        <bgColor rgb="FFD9D9D9"/>
      </patternFill>
    </fill>
    <fill>
      <patternFill patternType="solid">
        <fgColor rgb="FFF6F9D4"/>
        <bgColor rgb="FFFFFF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2" fillId="6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2" fontId="2" fillId="7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10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6F9D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008080"/>
      <rgbColor rgb="FFB3B3B3"/>
      <rgbColor rgb="FF4F81BD"/>
      <rgbColor rgb="FF9999FF"/>
      <rgbColor rgb="FFC0504D"/>
      <rgbColor rgb="FFFFFFD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AFD095"/>
      <rgbColor rgb="FFFF99CC"/>
      <rgbColor rgb="FFCC99FF"/>
      <rgbColor rgb="FFFFD8CE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4D3B62"/>
      <rgbColor rgb="FF772C2A"/>
      <rgbColor rgb="FF595959"/>
      <rgbColor rgb="FF2C4D7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Planilha4!$G$1</c:f>
              <c:strCache>
                <c:ptCount val="1"/>
                <c:pt idx="0">
                  <c:v>%UAB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A01-4B78-92D9-E8EB68BCEED9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A01-4B78-92D9-E8EB68BCEED9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A01-4B78-92D9-E8EB68BCEED9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A01-4B78-92D9-E8EB68BCEED9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A01-4B78-92D9-E8EB68BCEED9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A01-4B78-92D9-E8EB68BCEED9}"/>
              </c:ext>
            </c:extLst>
          </c:dPt>
          <c:dPt>
            <c:idx val="6"/>
            <c:invertIfNegative val="1"/>
            <c:bubble3D val="0"/>
            <c:spPr>
              <a:solidFill>
                <a:srgbClr val="2C4D7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AA01-4B78-92D9-E8EB68BCEED9}"/>
              </c:ext>
            </c:extLst>
          </c:dPt>
          <c:dPt>
            <c:idx val="7"/>
            <c:invertIfNegative val="1"/>
            <c:bubble3D val="0"/>
            <c:spPr>
              <a:solidFill>
                <a:srgbClr val="772C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A01-4B78-92D9-E8EB68BCEED9}"/>
              </c:ext>
            </c:extLst>
          </c:dPt>
          <c:dPt>
            <c:idx val="8"/>
            <c:invertIfNegative val="1"/>
            <c:bubble3D val="0"/>
            <c:spPr>
              <a:solidFill>
                <a:srgbClr val="5F753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A01-4B78-92D9-E8EB68BCEED9}"/>
              </c:ext>
            </c:extLst>
          </c:dPt>
          <c:dPt>
            <c:idx val="9"/>
            <c:invertIfNegative val="1"/>
            <c:bubble3D val="0"/>
            <c:spPr>
              <a:solidFill>
                <a:srgbClr val="4D3B6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A01-4B78-92D9-E8EB68BCEED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A01-4B78-92D9-E8EB68BCEED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A01-4B78-92D9-E8EB68BCEED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A01-4B78-92D9-E8EB68BCEED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A01-4B78-92D9-E8EB68BCEED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A01-4B78-92D9-E8EB68BCEED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A01-4B78-92D9-E8EB68BCEED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A01-4B78-92D9-E8EB68BCEED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AA01-4B78-92D9-E8EB68BCEED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A01-4B78-92D9-E8EB68BCEED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1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uFillTx/>
                      <a:latin typeface="Times New Roman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A01-4B78-92D9-E8EB68BCEE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uFillTx/>
                    <a:latin typeface="Times New Roman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Planilha4!$A$2:$A$11</c:f>
              <c:strCache>
                <c:ptCount val="10"/>
                <c:pt idx="0">
                  <c:v>UFVJM</c:v>
                </c:pt>
                <c:pt idx="1">
                  <c:v>UFSC</c:v>
                </c:pt>
                <c:pt idx="2">
                  <c:v>UFSM</c:v>
                </c:pt>
                <c:pt idx="3">
                  <c:v>UFOP</c:v>
                </c:pt>
                <c:pt idx="4">
                  <c:v>UFJF</c:v>
                </c:pt>
                <c:pt idx="5">
                  <c:v>UNIRIO</c:v>
                </c:pt>
                <c:pt idx="6">
                  <c:v>UFRPE</c:v>
                </c:pt>
                <c:pt idx="7">
                  <c:v>UFTM</c:v>
                </c:pt>
                <c:pt idx="8">
                  <c:v>UFERSA</c:v>
                </c:pt>
                <c:pt idx="9">
                  <c:v>UNIVASF</c:v>
                </c:pt>
              </c:strCache>
            </c:strRef>
          </c:cat>
          <c:val>
            <c:numRef>
              <c:f>Planilha4!$G$2:$G$11</c:f>
              <c:numCache>
                <c:formatCode>0.00%</c:formatCode>
                <c:ptCount val="10"/>
                <c:pt idx="0">
                  <c:v>0.21276595744680851</c:v>
                </c:pt>
                <c:pt idx="1">
                  <c:v>0.23745928338762215</c:v>
                </c:pt>
                <c:pt idx="2">
                  <c:v>0.24303368063968986</c:v>
                </c:pt>
                <c:pt idx="3">
                  <c:v>0.26669695592912313</c:v>
                </c:pt>
                <c:pt idx="4">
                  <c:v>0.26835535976505137</c:v>
                </c:pt>
                <c:pt idx="5">
                  <c:v>0.28006807866868383</c:v>
                </c:pt>
                <c:pt idx="6">
                  <c:v>0.28958864215507829</c:v>
                </c:pt>
                <c:pt idx="7">
                  <c:v>0.29408212560386471</c:v>
                </c:pt>
                <c:pt idx="8">
                  <c:v>0.53567205360662196</c:v>
                </c:pt>
                <c:pt idx="9">
                  <c:v>0.82295877122069527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1-4B78-92D9-E8EB68BCE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82022"/>
        <c:axId val="92226005"/>
      </c:barChart>
      <c:catAx>
        <c:axId val="538820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0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Times New Roman"/>
              </a:defRPr>
            </a:pPr>
            <a:endParaRPr lang="pt-BR"/>
          </a:p>
        </c:txPr>
        <c:crossAx val="92226005"/>
        <c:crosses val="autoZero"/>
        <c:auto val="1"/>
        <c:lblAlgn val="ctr"/>
        <c:lblOffset val="100"/>
        <c:noMultiLvlLbl val="0"/>
      </c:catAx>
      <c:valAx>
        <c:axId val="92226005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crossAx val="538820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762120</xdr:colOff>
      <xdr:row>13</xdr:row>
      <xdr:rowOff>85680</xdr:rowOff>
    </xdr:from>
    <xdr:to>
      <xdr:col>10</xdr:col>
      <xdr:colOff>495000</xdr:colOff>
      <xdr:row>22</xdr:row>
      <xdr:rowOff>123480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zoomScaleNormal="100" workbookViewId="0">
      <selection sqref="A1:S71"/>
    </sheetView>
  </sheetViews>
  <sheetFormatPr defaultColWidth="8.7109375" defaultRowHeight="12.75" x14ac:dyDescent="0.2"/>
  <cols>
    <col min="1" max="1" width="11.42578125" style="6" customWidth="1"/>
    <col min="2" max="2" width="4.42578125" style="6" customWidth="1"/>
    <col min="3" max="3" width="8.140625" style="6" customWidth="1"/>
    <col min="4" max="4" width="7.7109375" style="7" customWidth="1"/>
    <col min="5" max="5" width="5.7109375" style="7" customWidth="1"/>
    <col min="6" max="6" width="8.140625" style="6" customWidth="1"/>
    <col min="7" max="7" width="5.7109375" style="7" customWidth="1"/>
    <col min="8" max="8" width="6.7109375" style="7" customWidth="1"/>
    <col min="9" max="9" width="8.5703125" style="6" customWidth="1"/>
    <col min="10" max="10" width="5.7109375" style="7" customWidth="1"/>
    <col min="11" max="11" width="6.7109375" style="7" customWidth="1"/>
    <col min="12" max="12" width="6.42578125" style="8" customWidth="1"/>
    <col min="13" max="13" width="6.85546875" style="8" customWidth="1"/>
    <col min="14" max="14" width="6.42578125" style="9" customWidth="1"/>
    <col min="15" max="15" width="7.7109375" style="7" customWidth="1"/>
    <col min="16" max="16" width="5.85546875" style="7" customWidth="1"/>
    <col min="17" max="17" width="7.28515625" style="7" customWidth="1"/>
    <col min="18" max="18" width="7.5703125" style="7" customWidth="1"/>
    <col min="19" max="19" width="7.42578125" style="7" customWidth="1"/>
    <col min="20" max="16383" width="8.7109375" style="7"/>
    <col min="16384" max="16384" width="11.5703125" style="7" customWidth="1"/>
  </cols>
  <sheetData>
    <row r="1" spans="1:19" x14ac:dyDescent="0.2">
      <c r="A1" s="5" t="s">
        <v>0</v>
      </c>
      <c r="B1" s="5"/>
      <c r="C1" s="4" t="s">
        <v>1</v>
      </c>
      <c r="D1" s="4"/>
      <c r="E1" s="4"/>
      <c r="F1" s="3" t="s">
        <v>2</v>
      </c>
      <c r="G1" s="3"/>
      <c r="H1" s="3"/>
      <c r="I1" s="2" t="s">
        <v>3</v>
      </c>
      <c r="J1" s="2"/>
      <c r="K1" s="2"/>
      <c r="L1" s="1" t="s">
        <v>4</v>
      </c>
      <c r="M1" s="1"/>
      <c r="N1" s="1"/>
      <c r="O1" s="1"/>
      <c r="P1" s="1"/>
      <c r="Q1" s="1"/>
      <c r="R1" s="1"/>
      <c r="S1" s="1"/>
    </row>
    <row r="2" spans="1:19" x14ac:dyDescent="0.2">
      <c r="A2" s="10" t="s">
        <v>5</v>
      </c>
      <c r="B2" s="10" t="s">
        <v>6</v>
      </c>
      <c r="C2" s="10" t="s">
        <v>7</v>
      </c>
      <c r="D2" s="11" t="s">
        <v>8</v>
      </c>
      <c r="E2" s="11" t="s">
        <v>9</v>
      </c>
      <c r="F2" s="10" t="s">
        <v>7</v>
      </c>
      <c r="G2" s="11" t="s">
        <v>9</v>
      </c>
      <c r="H2" s="11" t="s">
        <v>10</v>
      </c>
      <c r="I2" s="10" t="s">
        <v>11</v>
      </c>
      <c r="J2" s="11" t="s">
        <v>9</v>
      </c>
      <c r="K2" s="11" t="s">
        <v>10</v>
      </c>
      <c r="L2" s="12" t="s">
        <v>12</v>
      </c>
      <c r="M2" s="12" t="s">
        <v>13</v>
      </c>
      <c r="N2" s="13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spans="1:19" x14ac:dyDescent="0.2">
      <c r="A3" s="14" t="s">
        <v>20</v>
      </c>
      <c r="B3" s="14" t="s">
        <v>21</v>
      </c>
      <c r="C3" s="14" t="s">
        <v>22</v>
      </c>
      <c r="D3" s="15">
        <v>3</v>
      </c>
      <c r="E3" s="15">
        <v>17</v>
      </c>
      <c r="F3" s="14" t="s">
        <v>22</v>
      </c>
      <c r="G3" s="15">
        <v>15</v>
      </c>
      <c r="H3" s="15">
        <v>3</v>
      </c>
      <c r="I3" s="14" t="s">
        <v>23</v>
      </c>
      <c r="J3" s="15">
        <v>6</v>
      </c>
      <c r="K3" s="15">
        <v>1</v>
      </c>
      <c r="L3" s="16">
        <v>7724</v>
      </c>
      <c r="M3" s="16">
        <v>1777</v>
      </c>
      <c r="N3" s="17">
        <f t="shared" ref="N3:N34" si="0">M3/L3</f>
        <v>0.23006214396685656</v>
      </c>
      <c r="O3" s="16">
        <v>221</v>
      </c>
      <c r="P3" s="16">
        <v>0</v>
      </c>
      <c r="Q3" s="18">
        <f t="shared" ref="Q3:Q13" si="1">O3/$M3</f>
        <v>0.12436691052335397</v>
      </c>
      <c r="R3" s="18">
        <f t="shared" ref="R3:R13" si="2">P3/$M3</f>
        <v>0</v>
      </c>
      <c r="S3" s="18">
        <f t="shared" ref="S3:S34" si="3">1-Q3-R3</f>
        <v>0.87563308947664598</v>
      </c>
    </row>
    <row r="4" spans="1:19" x14ac:dyDescent="0.2">
      <c r="A4" s="14" t="s">
        <v>24</v>
      </c>
      <c r="B4" s="14" t="s">
        <v>25</v>
      </c>
      <c r="C4" s="14" t="s">
        <v>22</v>
      </c>
      <c r="D4" s="15">
        <v>2</v>
      </c>
      <c r="E4" s="15">
        <v>8</v>
      </c>
      <c r="F4" s="14" t="s">
        <v>26</v>
      </c>
      <c r="G4" s="15">
        <v>0</v>
      </c>
      <c r="H4" s="15">
        <v>0</v>
      </c>
      <c r="I4" s="14" t="s">
        <v>26</v>
      </c>
      <c r="J4" s="15">
        <v>0</v>
      </c>
      <c r="K4" s="15">
        <v>0</v>
      </c>
      <c r="L4" s="16">
        <v>15412</v>
      </c>
      <c r="M4" s="16">
        <v>1006</v>
      </c>
      <c r="N4" s="17">
        <f t="shared" si="0"/>
        <v>6.527381261354788E-2</v>
      </c>
      <c r="O4" s="16">
        <v>0</v>
      </c>
      <c r="P4" s="16">
        <v>0</v>
      </c>
      <c r="Q4" s="18">
        <f t="shared" si="1"/>
        <v>0</v>
      </c>
      <c r="R4" s="18">
        <f t="shared" si="2"/>
        <v>0</v>
      </c>
      <c r="S4" s="18">
        <f t="shared" si="3"/>
        <v>1</v>
      </c>
    </row>
    <row r="5" spans="1:19" x14ac:dyDescent="0.2">
      <c r="A5" s="14" t="s">
        <v>27</v>
      </c>
      <c r="B5" s="14" t="s">
        <v>28</v>
      </c>
      <c r="C5" s="14" t="s">
        <v>22</v>
      </c>
      <c r="D5" s="15">
        <v>2</v>
      </c>
      <c r="E5" s="15">
        <v>25</v>
      </c>
      <c r="F5" s="14" t="s">
        <v>22</v>
      </c>
      <c r="G5" s="15">
        <v>8</v>
      </c>
      <c r="H5" s="15">
        <v>4</v>
      </c>
      <c r="I5" s="14" t="s">
        <v>23</v>
      </c>
      <c r="J5" s="15">
        <v>8</v>
      </c>
      <c r="K5" s="15">
        <v>2</v>
      </c>
      <c r="L5" s="16">
        <v>8524</v>
      </c>
      <c r="M5" s="16">
        <v>3719</v>
      </c>
      <c r="N5" s="17">
        <f t="shared" si="0"/>
        <v>0.43629751290473956</v>
      </c>
      <c r="O5" s="16">
        <v>315</v>
      </c>
      <c r="P5" s="16">
        <v>0</v>
      </c>
      <c r="Q5" s="18">
        <f t="shared" si="1"/>
        <v>8.4700188222640499E-2</v>
      </c>
      <c r="R5" s="18">
        <f t="shared" si="2"/>
        <v>0</v>
      </c>
      <c r="S5" s="18">
        <f t="shared" si="3"/>
        <v>0.91529981177735953</v>
      </c>
    </row>
    <row r="6" spans="1:19" x14ac:dyDescent="0.2">
      <c r="A6" s="14" t="s">
        <v>29</v>
      </c>
      <c r="B6" s="14" t="s">
        <v>30</v>
      </c>
      <c r="C6" s="14" t="s">
        <v>22</v>
      </c>
      <c r="D6" s="15">
        <v>4</v>
      </c>
      <c r="E6" s="15">
        <v>33</v>
      </c>
      <c r="F6" s="14" t="s">
        <v>22</v>
      </c>
      <c r="G6" s="15">
        <v>10</v>
      </c>
      <c r="H6" s="15">
        <v>6</v>
      </c>
      <c r="I6" s="14" t="s">
        <v>22</v>
      </c>
      <c r="J6" s="15">
        <v>11</v>
      </c>
      <c r="K6" s="15">
        <v>3</v>
      </c>
      <c r="L6" s="16">
        <v>23894</v>
      </c>
      <c r="M6" s="16">
        <v>8158</v>
      </c>
      <c r="N6" s="17">
        <f t="shared" si="0"/>
        <v>0.341424625428978</v>
      </c>
      <c r="O6" s="16">
        <v>166</v>
      </c>
      <c r="P6" s="16">
        <v>504</v>
      </c>
      <c r="Q6" s="18">
        <f t="shared" si="1"/>
        <v>2.0348124540328513E-2</v>
      </c>
      <c r="R6" s="18">
        <f t="shared" si="2"/>
        <v>6.1779848001961263E-2</v>
      </c>
      <c r="S6" s="18">
        <f t="shared" si="3"/>
        <v>0.91787202745771024</v>
      </c>
    </row>
    <row r="7" spans="1:19" x14ac:dyDescent="0.2">
      <c r="A7" s="14" t="s">
        <v>31</v>
      </c>
      <c r="B7" s="14" t="s">
        <v>32</v>
      </c>
      <c r="C7" s="14" t="s">
        <v>22</v>
      </c>
      <c r="D7" s="15">
        <v>6</v>
      </c>
      <c r="E7" s="15">
        <v>37</v>
      </c>
      <c r="F7" s="14" t="s">
        <v>22</v>
      </c>
      <c r="G7" s="15">
        <v>3</v>
      </c>
      <c r="H7" s="15">
        <v>6</v>
      </c>
      <c r="I7" s="14" t="s">
        <v>22</v>
      </c>
      <c r="J7" s="15">
        <v>7</v>
      </c>
      <c r="K7" s="15">
        <v>6</v>
      </c>
      <c r="L7" s="16">
        <v>21034</v>
      </c>
      <c r="M7" s="16">
        <v>7907</v>
      </c>
      <c r="N7" s="17">
        <f t="shared" si="0"/>
        <v>0.37591518493867071</v>
      </c>
      <c r="O7" s="16">
        <v>480</v>
      </c>
      <c r="P7" s="16">
        <v>0</v>
      </c>
      <c r="Q7" s="18">
        <f t="shared" si="1"/>
        <v>6.0705703806753511E-2</v>
      </c>
      <c r="R7" s="18">
        <f t="shared" si="2"/>
        <v>0</v>
      </c>
      <c r="S7" s="18">
        <f t="shared" si="3"/>
        <v>0.93929429619324645</v>
      </c>
    </row>
    <row r="8" spans="1:19" x14ac:dyDescent="0.2">
      <c r="A8" s="14" t="s">
        <v>33</v>
      </c>
      <c r="B8" s="14" t="s">
        <v>34</v>
      </c>
      <c r="C8" s="14" t="s">
        <v>22</v>
      </c>
      <c r="D8" s="15">
        <v>1</v>
      </c>
      <c r="E8" s="15">
        <v>2</v>
      </c>
      <c r="F8" s="14" t="s">
        <v>26</v>
      </c>
      <c r="G8" s="15">
        <v>0</v>
      </c>
      <c r="H8" s="15">
        <v>0</v>
      </c>
      <c r="I8" s="14" t="s">
        <v>26</v>
      </c>
      <c r="J8" s="15">
        <v>0</v>
      </c>
      <c r="K8" s="15">
        <v>0</v>
      </c>
      <c r="L8" s="16">
        <v>2679</v>
      </c>
      <c r="M8" s="16">
        <v>817</v>
      </c>
      <c r="N8" s="17">
        <f t="shared" si="0"/>
        <v>0.30496453900709219</v>
      </c>
      <c r="O8" s="16">
        <v>0</v>
      </c>
      <c r="P8" s="16">
        <v>0</v>
      </c>
      <c r="Q8" s="18">
        <f t="shared" si="1"/>
        <v>0</v>
      </c>
      <c r="R8" s="18">
        <f t="shared" si="2"/>
        <v>0</v>
      </c>
      <c r="S8" s="18">
        <f t="shared" si="3"/>
        <v>1</v>
      </c>
    </row>
    <row r="9" spans="1:19" x14ac:dyDescent="0.2">
      <c r="A9" s="14" t="s">
        <v>35</v>
      </c>
      <c r="B9" s="14" t="s">
        <v>36</v>
      </c>
      <c r="C9" s="14" t="s">
        <v>22</v>
      </c>
      <c r="D9" s="15">
        <v>1</v>
      </c>
      <c r="E9" s="15">
        <v>22</v>
      </c>
      <c r="F9" s="14" t="s">
        <v>22</v>
      </c>
      <c r="G9" s="15">
        <v>28</v>
      </c>
      <c r="H9" s="15">
        <v>5</v>
      </c>
      <c r="I9" s="14" t="s">
        <v>23</v>
      </c>
      <c r="J9" s="15">
        <v>13</v>
      </c>
      <c r="K9" s="15">
        <v>3</v>
      </c>
      <c r="L9" s="16">
        <v>29457</v>
      </c>
      <c r="M9" s="16">
        <v>3214</v>
      </c>
      <c r="N9" s="17">
        <f t="shared" si="0"/>
        <v>0.10910819160131717</v>
      </c>
      <c r="O9" s="16">
        <v>1015</v>
      </c>
      <c r="P9" s="16">
        <v>0</v>
      </c>
      <c r="Q9" s="18">
        <f t="shared" si="1"/>
        <v>0.31580584940883633</v>
      </c>
      <c r="R9" s="18">
        <f t="shared" si="2"/>
        <v>0</v>
      </c>
      <c r="S9" s="18">
        <f t="shared" si="3"/>
        <v>0.68419415059116373</v>
      </c>
    </row>
    <row r="10" spans="1:19" x14ac:dyDescent="0.2">
      <c r="A10" s="14" t="s">
        <v>37</v>
      </c>
      <c r="B10" s="14" t="s">
        <v>38</v>
      </c>
      <c r="C10" s="14" t="s">
        <v>22</v>
      </c>
      <c r="D10" s="15">
        <v>2</v>
      </c>
      <c r="E10" s="15">
        <v>29</v>
      </c>
      <c r="F10" s="14" t="s">
        <v>22</v>
      </c>
      <c r="G10" s="15">
        <v>17</v>
      </c>
      <c r="H10" s="15">
        <v>7</v>
      </c>
      <c r="I10" s="14" t="s">
        <v>39</v>
      </c>
      <c r="J10" s="15">
        <v>13</v>
      </c>
      <c r="K10" s="15">
        <v>6</v>
      </c>
      <c r="L10" s="16">
        <v>27780</v>
      </c>
      <c r="M10" s="16">
        <v>5327</v>
      </c>
      <c r="N10" s="17">
        <f t="shared" si="0"/>
        <v>0.19175665946724263</v>
      </c>
      <c r="O10" s="16">
        <v>363</v>
      </c>
      <c r="P10" s="16">
        <v>0</v>
      </c>
      <c r="Q10" s="18">
        <f t="shared" si="1"/>
        <v>6.8143420311620045E-2</v>
      </c>
      <c r="R10" s="18">
        <f t="shared" si="2"/>
        <v>0</v>
      </c>
      <c r="S10" s="18">
        <f t="shared" si="3"/>
        <v>0.93185657968837998</v>
      </c>
    </row>
    <row r="11" spans="1:19" x14ac:dyDescent="0.2">
      <c r="A11" s="14" t="s">
        <v>40</v>
      </c>
      <c r="B11" s="14" t="s">
        <v>38</v>
      </c>
      <c r="C11" s="14" t="s">
        <v>22</v>
      </c>
      <c r="D11" s="15">
        <v>2</v>
      </c>
      <c r="E11" s="15">
        <v>9</v>
      </c>
      <c r="F11" s="14" t="s">
        <v>22</v>
      </c>
      <c r="G11" s="15">
        <v>10</v>
      </c>
      <c r="H11" s="15">
        <v>2</v>
      </c>
      <c r="I11" s="14" t="s">
        <v>23</v>
      </c>
      <c r="J11" s="15">
        <v>9</v>
      </c>
      <c r="K11" s="15">
        <v>2</v>
      </c>
      <c r="L11" s="16">
        <v>4450</v>
      </c>
      <c r="M11" s="16">
        <v>832</v>
      </c>
      <c r="N11" s="17">
        <f t="shared" si="0"/>
        <v>0.18696629213483146</v>
      </c>
      <c r="O11" s="16">
        <v>180</v>
      </c>
      <c r="P11" s="16">
        <v>0</v>
      </c>
      <c r="Q11" s="18">
        <f t="shared" si="1"/>
        <v>0.21634615384615385</v>
      </c>
      <c r="R11" s="18">
        <f t="shared" si="2"/>
        <v>0</v>
      </c>
      <c r="S11" s="18">
        <f t="shared" si="3"/>
        <v>0.78365384615384615</v>
      </c>
    </row>
    <row r="12" spans="1:19" x14ac:dyDescent="0.2">
      <c r="A12" s="14" t="s">
        <v>41</v>
      </c>
      <c r="B12" s="14" t="s">
        <v>42</v>
      </c>
      <c r="C12" s="14" t="s">
        <v>22</v>
      </c>
      <c r="D12" s="15">
        <v>1</v>
      </c>
      <c r="E12" s="15">
        <v>13</v>
      </c>
      <c r="F12" s="14" t="s">
        <v>22</v>
      </c>
      <c r="G12" s="15">
        <v>10</v>
      </c>
      <c r="H12" s="15">
        <v>1</v>
      </c>
      <c r="I12" s="14" t="s">
        <v>22</v>
      </c>
      <c r="J12" s="15">
        <v>6</v>
      </c>
      <c r="K12" s="15">
        <v>1</v>
      </c>
      <c r="L12" s="16">
        <v>2907</v>
      </c>
      <c r="M12" s="16">
        <v>1077</v>
      </c>
      <c r="N12" s="17">
        <f t="shared" si="0"/>
        <v>0.37048503611971106</v>
      </c>
      <c r="O12" s="16">
        <v>33</v>
      </c>
      <c r="P12" s="16">
        <v>64</v>
      </c>
      <c r="Q12" s="18">
        <f t="shared" si="1"/>
        <v>3.0640668523676879E-2</v>
      </c>
      <c r="R12" s="18">
        <f t="shared" si="2"/>
        <v>5.9424326833797586E-2</v>
      </c>
      <c r="S12" s="18">
        <f t="shared" si="3"/>
        <v>0.90993500464252552</v>
      </c>
    </row>
    <row r="13" spans="1:19" x14ac:dyDescent="0.2">
      <c r="A13" s="14" t="s">
        <v>43</v>
      </c>
      <c r="B13" s="14" t="s">
        <v>44</v>
      </c>
      <c r="C13" s="14" t="s">
        <v>22</v>
      </c>
      <c r="D13" s="15">
        <v>5</v>
      </c>
      <c r="E13" s="15">
        <v>29</v>
      </c>
      <c r="F13" s="14" t="s">
        <v>26</v>
      </c>
      <c r="G13" s="15">
        <v>0</v>
      </c>
      <c r="H13" s="15">
        <v>0</v>
      </c>
      <c r="I13" s="14" t="s">
        <v>26</v>
      </c>
      <c r="J13" s="15">
        <v>0</v>
      </c>
      <c r="K13" s="15">
        <v>0</v>
      </c>
      <c r="L13" s="16">
        <v>14135</v>
      </c>
      <c r="M13" s="16">
        <v>4239</v>
      </c>
      <c r="N13" s="17">
        <f t="shared" si="0"/>
        <v>0.29989388043862752</v>
      </c>
      <c r="O13" s="16">
        <v>0</v>
      </c>
      <c r="P13" s="16">
        <v>0</v>
      </c>
      <c r="Q13" s="18">
        <f t="shared" si="1"/>
        <v>0</v>
      </c>
      <c r="R13" s="18">
        <f t="shared" si="2"/>
        <v>0</v>
      </c>
      <c r="S13" s="18">
        <f t="shared" si="3"/>
        <v>1</v>
      </c>
    </row>
    <row r="14" spans="1:19" x14ac:dyDescent="0.2">
      <c r="A14" s="14" t="s">
        <v>45</v>
      </c>
      <c r="B14" s="14" t="s">
        <v>21</v>
      </c>
      <c r="C14" s="14" t="s">
        <v>26</v>
      </c>
      <c r="D14" s="15">
        <v>0</v>
      </c>
      <c r="E14" s="15">
        <v>0</v>
      </c>
      <c r="F14" s="14" t="s">
        <v>26</v>
      </c>
      <c r="G14" s="15">
        <v>0</v>
      </c>
      <c r="H14" s="15">
        <v>0</v>
      </c>
      <c r="I14" s="14" t="s">
        <v>26</v>
      </c>
      <c r="J14" s="15">
        <v>0</v>
      </c>
      <c r="K14" s="15">
        <v>0</v>
      </c>
      <c r="L14" s="16">
        <v>2889</v>
      </c>
      <c r="M14" s="16">
        <v>0</v>
      </c>
      <c r="N14" s="17">
        <f t="shared" si="0"/>
        <v>0</v>
      </c>
      <c r="O14" s="16">
        <v>0</v>
      </c>
      <c r="P14" s="16">
        <v>0</v>
      </c>
      <c r="Q14" s="18">
        <v>0</v>
      </c>
      <c r="R14" s="18">
        <v>0</v>
      </c>
      <c r="S14" s="18">
        <f t="shared" si="3"/>
        <v>1</v>
      </c>
    </row>
    <row r="15" spans="1:19" x14ac:dyDescent="0.2">
      <c r="A15" s="14" t="s">
        <v>46</v>
      </c>
      <c r="B15" s="14" t="s">
        <v>47</v>
      </c>
      <c r="C15" s="14" t="s">
        <v>22</v>
      </c>
      <c r="D15" s="15">
        <v>1</v>
      </c>
      <c r="E15" s="15">
        <v>5</v>
      </c>
      <c r="F15" s="14" t="s">
        <v>26</v>
      </c>
      <c r="G15" s="15">
        <v>0</v>
      </c>
      <c r="H15" s="15">
        <v>0</v>
      </c>
      <c r="I15" s="14" t="s">
        <v>26</v>
      </c>
      <c r="J15" s="15">
        <v>0</v>
      </c>
      <c r="K15" s="15">
        <v>0</v>
      </c>
      <c r="L15" s="16">
        <v>3995</v>
      </c>
      <c r="M15" s="16">
        <v>1002</v>
      </c>
      <c r="N15" s="17">
        <f t="shared" si="0"/>
        <v>0.25081351689612014</v>
      </c>
      <c r="O15" s="16">
        <v>0</v>
      </c>
      <c r="P15" s="16">
        <v>0</v>
      </c>
      <c r="Q15" s="18">
        <f t="shared" ref="Q15:Q46" si="4">O15/$M15</f>
        <v>0</v>
      </c>
      <c r="R15" s="18">
        <f t="shared" ref="R15:R46" si="5">P15/$M15</f>
        <v>0</v>
      </c>
      <c r="S15" s="18">
        <f t="shared" si="3"/>
        <v>1</v>
      </c>
    </row>
    <row r="16" spans="1:19" x14ac:dyDescent="0.2">
      <c r="A16" s="14" t="s">
        <v>48</v>
      </c>
      <c r="B16" s="14" t="s">
        <v>49</v>
      </c>
      <c r="C16" s="14" t="s">
        <v>22</v>
      </c>
      <c r="D16" s="15">
        <v>3</v>
      </c>
      <c r="E16" s="15">
        <v>8</v>
      </c>
      <c r="F16" s="14" t="s">
        <v>22</v>
      </c>
      <c r="G16" s="15">
        <v>7</v>
      </c>
      <c r="H16" s="15">
        <v>4</v>
      </c>
      <c r="I16" s="14" t="s">
        <v>22</v>
      </c>
      <c r="J16" s="15">
        <v>8</v>
      </c>
      <c r="K16" s="15">
        <v>4</v>
      </c>
      <c r="L16" s="16">
        <v>12942</v>
      </c>
      <c r="M16" s="16">
        <v>2537</v>
      </c>
      <c r="N16" s="17">
        <f t="shared" si="0"/>
        <v>0.19602843455416474</v>
      </c>
      <c r="O16" s="16">
        <v>0</v>
      </c>
      <c r="P16" s="16">
        <v>1359</v>
      </c>
      <c r="Q16" s="18">
        <f t="shared" si="4"/>
        <v>0</v>
      </c>
      <c r="R16" s="18">
        <f t="shared" si="5"/>
        <v>0.53567205360662196</v>
      </c>
      <c r="S16" s="18">
        <f t="shared" si="3"/>
        <v>0.46432794639337804</v>
      </c>
    </row>
    <row r="17" spans="1:19" x14ac:dyDescent="0.2">
      <c r="A17" s="14" t="s">
        <v>50</v>
      </c>
      <c r="B17" s="14" t="s">
        <v>51</v>
      </c>
      <c r="C17" s="14" t="s">
        <v>22</v>
      </c>
      <c r="D17" s="15">
        <v>3</v>
      </c>
      <c r="E17" s="15">
        <v>31</v>
      </c>
      <c r="F17" s="14" t="s">
        <v>22</v>
      </c>
      <c r="G17" s="15">
        <v>26</v>
      </c>
      <c r="H17" s="15">
        <v>6</v>
      </c>
      <c r="I17" s="14" t="s">
        <v>22</v>
      </c>
      <c r="J17" s="15">
        <v>25</v>
      </c>
      <c r="K17" s="15">
        <v>2</v>
      </c>
      <c r="L17" s="16">
        <v>22847</v>
      </c>
      <c r="M17" s="16">
        <v>6330</v>
      </c>
      <c r="N17" s="17">
        <f t="shared" si="0"/>
        <v>0.27706044557272291</v>
      </c>
      <c r="O17" s="16">
        <v>139</v>
      </c>
      <c r="P17" s="16">
        <v>1157</v>
      </c>
      <c r="Q17" s="18">
        <f t="shared" si="4"/>
        <v>2.1958925750394945E-2</v>
      </c>
      <c r="R17" s="18">
        <f t="shared" si="5"/>
        <v>0.18278041074249604</v>
      </c>
      <c r="S17" s="18">
        <f t="shared" si="3"/>
        <v>0.795260663507109</v>
      </c>
    </row>
    <row r="18" spans="1:19" x14ac:dyDescent="0.2">
      <c r="A18" s="14" t="s">
        <v>52</v>
      </c>
      <c r="B18" s="14" t="s">
        <v>53</v>
      </c>
      <c r="C18" s="14" t="s">
        <v>22</v>
      </c>
      <c r="D18" s="15">
        <v>5</v>
      </c>
      <c r="E18" s="15">
        <v>32</v>
      </c>
      <c r="F18" s="14" t="s">
        <v>22</v>
      </c>
      <c r="G18" s="15">
        <v>20</v>
      </c>
      <c r="H18" s="15">
        <v>2</v>
      </c>
      <c r="I18" s="14" t="s">
        <v>22</v>
      </c>
      <c r="J18" s="15">
        <v>12</v>
      </c>
      <c r="K18" s="15">
        <v>2</v>
      </c>
      <c r="L18" s="16">
        <v>43774</v>
      </c>
      <c r="M18" s="16">
        <v>8006</v>
      </c>
      <c r="N18" s="17">
        <f t="shared" si="0"/>
        <v>0.18289395531594096</v>
      </c>
      <c r="O18" s="16">
        <v>138</v>
      </c>
      <c r="P18" s="16">
        <v>1690</v>
      </c>
      <c r="Q18" s="18">
        <f t="shared" si="4"/>
        <v>1.7237072195853111E-2</v>
      </c>
      <c r="R18" s="18">
        <f t="shared" si="5"/>
        <v>0.21109168123907068</v>
      </c>
      <c r="S18" s="18">
        <f t="shared" si="3"/>
        <v>0.77167124656507613</v>
      </c>
    </row>
    <row r="19" spans="1:19" x14ac:dyDescent="0.2">
      <c r="A19" s="14" t="s">
        <v>54</v>
      </c>
      <c r="B19" s="14" t="s">
        <v>55</v>
      </c>
      <c r="C19" s="14" t="s">
        <v>22</v>
      </c>
      <c r="D19" s="15">
        <v>5</v>
      </c>
      <c r="E19" s="15">
        <v>31</v>
      </c>
      <c r="F19" s="14" t="s">
        <v>26</v>
      </c>
      <c r="G19" s="15">
        <v>0</v>
      </c>
      <c r="H19" s="15">
        <v>0</v>
      </c>
      <c r="I19" s="14" t="s">
        <v>26</v>
      </c>
      <c r="J19" s="15">
        <v>0</v>
      </c>
      <c r="K19" s="15">
        <v>0</v>
      </c>
      <c r="L19" s="16">
        <v>6038</v>
      </c>
      <c r="M19" s="16">
        <v>2239</v>
      </c>
      <c r="N19" s="17">
        <f t="shared" si="0"/>
        <v>0.37081815170586285</v>
      </c>
      <c r="O19" s="16">
        <v>0</v>
      </c>
      <c r="P19" s="16">
        <v>0</v>
      </c>
      <c r="Q19" s="18">
        <f t="shared" si="4"/>
        <v>0</v>
      </c>
      <c r="R19" s="18">
        <f t="shared" si="5"/>
        <v>0</v>
      </c>
      <c r="S19" s="18">
        <f t="shared" si="3"/>
        <v>1</v>
      </c>
    </row>
    <row r="20" spans="1:19" x14ac:dyDescent="0.2">
      <c r="A20" s="14" t="s">
        <v>56</v>
      </c>
      <c r="B20" s="14" t="s">
        <v>42</v>
      </c>
      <c r="C20" s="14" t="s">
        <v>22</v>
      </c>
      <c r="D20" s="15">
        <v>2</v>
      </c>
      <c r="E20" s="15">
        <v>28</v>
      </c>
      <c r="F20" s="14" t="s">
        <v>22</v>
      </c>
      <c r="G20" s="15">
        <v>6</v>
      </c>
      <c r="H20" s="15">
        <v>3</v>
      </c>
      <c r="I20" s="14" t="s">
        <v>22</v>
      </c>
      <c r="J20" s="15">
        <v>5</v>
      </c>
      <c r="K20" s="15">
        <v>1</v>
      </c>
      <c r="L20" s="16">
        <v>17877</v>
      </c>
      <c r="M20" s="16">
        <v>3610</v>
      </c>
      <c r="N20" s="17">
        <f t="shared" si="0"/>
        <v>0.20193544778206635</v>
      </c>
      <c r="O20" s="16">
        <v>13</v>
      </c>
      <c r="P20" s="16">
        <v>50</v>
      </c>
      <c r="Q20" s="18">
        <f t="shared" si="4"/>
        <v>3.6011080332409972E-3</v>
      </c>
      <c r="R20" s="18">
        <f t="shared" si="5"/>
        <v>1.3850415512465374E-2</v>
      </c>
      <c r="S20" s="18">
        <f t="shared" si="3"/>
        <v>0.98254847645429366</v>
      </c>
    </row>
    <row r="21" spans="1:19" x14ac:dyDescent="0.2">
      <c r="A21" s="14" t="s">
        <v>57</v>
      </c>
      <c r="B21" s="14" t="s">
        <v>58</v>
      </c>
      <c r="C21" s="14" t="s">
        <v>22</v>
      </c>
      <c r="D21" s="15">
        <v>1</v>
      </c>
      <c r="E21" s="15">
        <v>14</v>
      </c>
      <c r="F21" s="14" t="s">
        <v>22</v>
      </c>
      <c r="G21" s="15">
        <v>11</v>
      </c>
      <c r="H21" s="15">
        <v>4</v>
      </c>
      <c r="I21" s="14" t="s">
        <v>59</v>
      </c>
      <c r="J21" s="15">
        <v>10</v>
      </c>
      <c r="K21" s="15">
        <v>3</v>
      </c>
      <c r="L21" s="16">
        <v>6076</v>
      </c>
      <c r="M21" s="16">
        <v>1590</v>
      </c>
      <c r="N21" s="17">
        <f t="shared" si="0"/>
        <v>0.2616853192890059</v>
      </c>
      <c r="O21" s="16">
        <v>251</v>
      </c>
      <c r="P21" s="16">
        <v>0</v>
      </c>
      <c r="Q21" s="18">
        <f t="shared" si="4"/>
        <v>0.15786163522012578</v>
      </c>
      <c r="R21" s="18">
        <f t="shared" si="5"/>
        <v>0</v>
      </c>
      <c r="S21" s="18">
        <f t="shared" si="3"/>
        <v>0.84213836477987425</v>
      </c>
    </row>
    <row r="22" spans="1:19" x14ac:dyDescent="0.2">
      <c r="A22" s="14" t="s">
        <v>60</v>
      </c>
      <c r="B22" s="14" t="s">
        <v>42</v>
      </c>
      <c r="C22" s="14" t="s">
        <v>22</v>
      </c>
      <c r="D22" s="15">
        <v>1</v>
      </c>
      <c r="E22" s="15">
        <v>10</v>
      </c>
      <c r="F22" s="14" t="s">
        <v>26</v>
      </c>
      <c r="G22" s="15">
        <v>0</v>
      </c>
      <c r="H22" s="15">
        <v>0</v>
      </c>
      <c r="I22" s="14" t="s">
        <v>26</v>
      </c>
      <c r="J22" s="15">
        <v>0</v>
      </c>
      <c r="K22" s="15">
        <v>0</v>
      </c>
      <c r="L22" s="16">
        <v>3045</v>
      </c>
      <c r="M22" s="16">
        <v>558</v>
      </c>
      <c r="N22" s="17">
        <f t="shared" si="0"/>
        <v>0.18325123152709361</v>
      </c>
      <c r="O22" s="16">
        <v>0</v>
      </c>
      <c r="P22" s="16">
        <v>0</v>
      </c>
      <c r="Q22" s="18">
        <f t="shared" si="4"/>
        <v>0</v>
      </c>
      <c r="R22" s="18">
        <f t="shared" si="5"/>
        <v>0</v>
      </c>
      <c r="S22" s="18">
        <f t="shared" si="3"/>
        <v>1</v>
      </c>
    </row>
    <row r="23" spans="1:19" x14ac:dyDescent="0.2">
      <c r="A23" s="14" t="s">
        <v>61</v>
      </c>
      <c r="B23" s="14" t="s">
        <v>62</v>
      </c>
      <c r="C23" s="14" t="s">
        <v>22</v>
      </c>
      <c r="D23" s="15">
        <v>1</v>
      </c>
      <c r="E23" s="15">
        <v>20</v>
      </c>
      <c r="F23" s="14" t="s">
        <v>22</v>
      </c>
      <c r="G23" s="15">
        <v>30</v>
      </c>
      <c r="H23" s="15">
        <v>6</v>
      </c>
      <c r="I23" s="14" t="s">
        <v>22</v>
      </c>
      <c r="J23" s="15">
        <v>20</v>
      </c>
      <c r="K23" s="15">
        <v>6</v>
      </c>
      <c r="L23" s="16">
        <v>19145</v>
      </c>
      <c r="M23" s="16">
        <v>2724</v>
      </c>
      <c r="N23" s="17">
        <f t="shared" si="0"/>
        <v>0.14228258030817445</v>
      </c>
      <c r="O23" s="16">
        <v>128</v>
      </c>
      <c r="P23" s="16">
        <v>731</v>
      </c>
      <c r="Q23" s="18">
        <f t="shared" si="4"/>
        <v>4.6989720998531569E-2</v>
      </c>
      <c r="R23" s="18">
        <f t="shared" si="5"/>
        <v>0.26835535976505137</v>
      </c>
      <c r="S23" s="18">
        <f t="shared" si="3"/>
        <v>0.68465491923641708</v>
      </c>
    </row>
    <row r="24" spans="1:19" x14ac:dyDescent="0.2">
      <c r="A24" s="14" t="s">
        <v>63</v>
      </c>
      <c r="B24" s="14" t="s">
        <v>62</v>
      </c>
      <c r="C24" s="14" t="s">
        <v>22</v>
      </c>
      <c r="D24" s="15">
        <v>1</v>
      </c>
      <c r="E24" s="15">
        <v>9</v>
      </c>
      <c r="F24" s="14" t="s">
        <v>22</v>
      </c>
      <c r="G24" s="15">
        <v>10</v>
      </c>
      <c r="H24" s="15">
        <v>2</v>
      </c>
      <c r="I24" s="14" t="s">
        <v>22</v>
      </c>
      <c r="J24" s="15">
        <v>5</v>
      </c>
      <c r="K24" s="15">
        <v>1</v>
      </c>
      <c r="L24" s="16">
        <v>9196</v>
      </c>
      <c r="M24" s="16">
        <v>1308</v>
      </c>
      <c r="N24" s="17">
        <f t="shared" si="0"/>
        <v>0.14223575467594607</v>
      </c>
      <c r="O24" s="16">
        <v>88</v>
      </c>
      <c r="P24" s="16">
        <v>138</v>
      </c>
      <c r="Q24" s="18">
        <f t="shared" si="4"/>
        <v>6.7278287461773695E-2</v>
      </c>
      <c r="R24" s="18">
        <f t="shared" si="5"/>
        <v>0.10550458715596331</v>
      </c>
      <c r="S24" s="18">
        <f t="shared" si="3"/>
        <v>0.827217125382263</v>
      </c>
    </row>
    <row r="25" spans="1:19" x14ac:dyDescent="0.2">
      <c r="A25" s="14" t="s">
        <v>64</v>
      </c>
      <c r="B25" s="14" t="s">
        <v>65</v>
      </c>
      <c r="C25" s="14" t="s">
        <v>22</v>
      </c>
      <c r="D25" s="15">
        <v>8</v>
      </c>
      <c r="E25" s="15">
        <v>41</v>
      </c>
      <c r="F25" s="14" t="s">
        <v>22</v>
      </c>
      <c r="G25" s="15">
        <v>33</v>
      </c>
      <c r="H25" s="15">
        <v>10</v>
      </c>
      <c r="I25" s="14" t="s">
        <v>22</v>
      </c>
      <c r="J25" s="15">
        <v>19</v>
      </c>
      <c r="K25" s="15">
        <v>4</v>
      </c>
      <c r="L25" s="16">
        <v>37212</v>
      </c>
      <c r="M25" s="16">
        <v>16586</v>
      </c>
      <c r="N25" s="17">
        <f t="shared" si="0"/>
        <v>0.445716435558422</v>
      </c>
      <c r="O25" s="16">
        <v>2395</v>
      </c>
      <c r="P25" s="16">
        <v>1825</v>
      </c>
      <c r="Q25" s="18">
        <f t="shared" si="4"/>
        <v>0.14439889063065237</v>
      </c>
      <c r="R25" s="18">
        <f t="shared" si="5"/>
        <v>0.11003255757868081</v>
      </c>
      <c r="S25" s="18">
        <f t="shared" si="3"/>
        <v>0.74556855179066683</v>
      </c>
    </row>
    <row r="26" spans="1:19" x14ac:dyDescent="0.2">
      <c r="A26" s="14" t="s">
        <v>66</v>
      </c>
      <c r="B26" s="14" t="s">
        <v>62</v>
      </c>
      <c r="C26" s="14" t="s">
        <v>22</v>
      </c>
      <c r="D26" s="15">
        <v>1</v>
      </c>
      <c r="E26" s="15">
        <v>20</v>
      </c>
      <c r="F26" s="14" t="s">
        <v>22</v>
      </c>
      <c r="G26" s="15">
        <v>3</v>
      </c>
      <c r="H26" s="15">
        <v>2</v>
      </c>
      <c r="I26" s="14" t="s">
        <v>67</v>
      </c>
      <c r="J26" s="15">
        <v>1</v>
      </c>
      <c r="K26" s="15">
        <v>2</v>
      </c>
      <c r="L26" s="16">
        <v>33909</v>
      </c>
      <c r="M26" s="16">
        <v>4901</v>
      </c>
      <c r="N26" s="17">
        <f t="shared" si="0"/>
        <v>0.14453389955469048</v>
      </c>
      <c r="O26" s="16">
        <v>16</v>
      </c>
      <c r="P26" s="16">
        <v>0</v>
      </c>
      <c r="Q26" s="18">
        <f t="shared" si="4"/>
        <v>3.2646398694144052E-3</v>
      </c>
      <c r="R26" s="18">
        <f t="shared" si="5"/>
        <v>0</v>
      </c>
      <c r="S26" s="18">
        <f t="shared" si="3"/>
        <v>0.99673536013058561</v>
      </c>
    </row>
    <row r="27" spans="1:19" x14ac:dyDescent="0.2">
      <c r="A27" s="14" t="s">
        <v>68</v>
      </c>
      <c r="B27" s="14" t="s">
        <v>58</v>
      </c>
      <c r="C27" s="14" t="s">
        <v>22</v>
      </c>
      <c r="D27" s="15">
        <v>9</v>
      </c>
      <c r="E27" s="15">
        <v>50</v>
      </c>
      <c r="F27" s="14" t="s">
        <v>22</v>
      </c>
      <c r="G27" s="15">
        <v>15</v>
      </c>
      <c r="H27" s="15">
        <v>3</v>
      </c>
      <c r="I27" s="14" t="s">
        <v>23</v>
      </c>
      <c r="J27" s="15">
        <v>15</v>
      </c>
      <c r="K27" s="15">
        <v>3</v>
      </c>
      <c r="L27" s="16">
        <v>26636</v>
      </c>
      <c r="M27" s="16">
        <v>6916</v>
      </c>
      <c r="N27" s="17">
        <f t="shared" si="0"/>
        <v>0.25964859588526806</v>
      </c>
      <c r="O27" s="16">
        <v>1748</v>
      </c>
      <c r="P27" s="16">
        <v>0</v>
      </c>
      <c r="Q27" s="18">
        <f t="shared" si="4"/>
        <v>0.25274725274725274</v>
      </c>
      <c r="R27" s="18">
        <f t="shared" si="5"/>
        <v>0</v>
      </c>
      <c r="S27" s="18">
        <f t="shared" si="3"/>
        <v>0.74725274725274726</v>
      </c>
    </row>
    <row r="28" spans="1:19" x14ac:dyDescent="0.2">
      <c r="A28" s="14" t="s">
        <v>69</v>
      </c>
      <c r="B28" s="14" t="s">
        <v>70</v>
      </c>
      <c r="C28" s="14" t="s">
        <v>22</v>
      </c>
      <c r="D28" s="15">
        <v>4</v>
      </c>
      <c r="E28" s="15">
        <v>30</v>
      </c>
      <c r="F28" s="14" t="s">
        <v>22</v>
      </c>
      <c r="G28" s="15">
        <v>21</v>
      </c>
      <c r="H28" s="15">
        <v>6</v>
      </c>
      <c r="I28" s="14" t="s">
        <v>22</v>
      </c>
      <c r="J28" s="15">
        <v>12</v>
      </c>
      <c r="K28" s="15">
        <v>3</v>
      </c>
      <c r="L28" s="16">
        <v>15397</v>
      </c>
      <c r="M28" s="16">
        <v>2809</v>
      </c>
      <c r="N28" s="17">
        <f t="shared" si="0"/>
        <v>0.18243813729947392</v>
      </c>
      <c r="O28" s="16">
        <v>70</v>
      </c>
      <c r="P28" s="16">
        <v>583</v>
      </c>
      <c r="Q28" s="18">
        <f t="shared" si="4"/>
        <v>2.491990032039872E-2</v>
      </c>
      <c r="R28" s="18">
        <f t="shared" si="5"/>
        <v>0.20754716981132076</v>
      </c>
      <c r="S28" s="18">
        <f t="shared" si="3"/>
        <v>0.76753292986828048</v>
      </c>
    </row>
    <row r="29" spans="1:19" x14ac:dyDescent="0.2">
      <c r="A29" s="14" t="s">
        <v>71</v>
      </c>
      <c r="B29" s="14" t="s">
        <v>72</v>
      </c>
      <c r="C29" s="14" t="s">
        <v>22</v>
      </c>
      <c r="D29" s="15">
        <v>2</v>
      </c>
      <c r="E29" s="15">
        <v>12</v>
      </c>
      <c r="F29" s="14" t="s">
        <v>26</v>
      </c>
      <c r="G29" s="15">
        <v>0</v>
      </c>
      <c r="H29" s="15">
        <v>0</v>
      </c>
      <c r="I29" s="14" t="s">
        <v>26</v>
      </c>
      <c r="J29" s="15">
        <v>0</v>
      </c>
      <c r="K29" s="15">
        <v>0</v>
      </c>
      <c r="L29" s="16">
        <v>3432</v>
      </c>
      <c r="M29" s="16">
        <v>1917</v>
      </c>
      <c r="N29" s="17">
        <f t="shared" si="0"/>
        <v>0.55856643356643354</v>
      </c>
      <c r="O29" s="16">
        <v>0</v>
      </c>
      <c r="P29" s="16">
        <v>0</v>
      </c>
      <c r="Q29" s="18">
        <f t="shared" si="4"/>
        <v>0</v>
      </c>
      <c r="R29" s="18">
        <f t="shared" si="5"/>
        <v>0</v>
      </c>
      <c r="S29" s="18">
        <f t="shared" si="3"/>
        <v>1</v>
      </c>
    </row>
    <row r="30" spans="1:19" x14ac:dyDescent="0.2">
      <c r="A30" s="14" t="s">
        <v>73</v>
      </c>
      <c r="B30" s="14" t="s">
        <v>36</v>
      </c>
      <c r="C30" s="14" t="s">
        <v>22</v>
      </c>
      <c r="D30" s="15">
        <v>2</v>
      </c>
      <c r="E30" s="15">
        <v>7</v>
      </c>
      <c r="F30" s="14" t="s">
        <v>26</v>
      </c>
      <c r="G30" s="15">
        <v>0</v>
      </c>
      <c r="H30" s="15">
        <v>0</v>
      </c>
      <c r="I30" s="14" t="s">
        <v>26</v>
      </c>
      <c r="J30" s="15">
        <v>0</v>
      </c>
      <c r="K30" s="15">
        <v>0</v>
      </c>
      <c r="L30" s="16">
        <v>3154</v>
      </c>
      <c r="M30" s="16">
        <v>311</v>
      </c>
      <c r="N30" s="17">
        <f t="shared" si="0"/>
        <v>9.860494610019023E-2</v>
      </c>
      <c r="O30" s="16">
        <v>0</v>
      </c>
      <c r="P30" s="16">
        <v>0</v>
      </c>
      <c r="Q30" s="18">
        <f t="shared" si="4"/>
        <v>0</v>
      </c>
      <c r="R30" s="18">
        <f t="shared" si="5"/>
        <v>0</v>
      </c>
      <c r="S30" s="18">
        <f t="shared" si="3"/>
        <v>1</v>
      </c>
    </row>
    <row r="31" spans="1:19" x14ac:dyDescent="0.2">
      <c r="A31" s="14" t="s">
        <v>74</v>
      </c>
      <c r="B31" s="14" t="s">
        <v>62</v>
      </c>
      <c r="C31" s="14" t="s">
        <v>22</v>
      </c>
      <c r="D31" s="15">
        <v>2</v>
      </c>
      <c r="E31" s="15">
        <v>13</v>
      </c>
      <c r="F31" s="14" t="s">
        <v>22</v>
      </c>
      <c r="G31" s="15">
        <v>28</v>
      </c>
      <c r="H31" s="15">
        <v>3</v>
      </c>
      <c r="I31" s="14" t="s">
        <v>22</v>
      </c>
      <c r="J31" s="15">
        <v>14</v>
      </c>
      <c r="K31" s="15">
        <v>1</v>
      </c>
      <c r="L31" s="16">
        <v>11982</v>
      </c>
      <c r="M31" s="16">
        <v>2201</v>
      </c>
      <c r="N31" s="17">
        <f t="shared" si="0"/>
        <v>0.18369220497412786</v>
      </c>
      <c r="O31" s="16">
        <v>86</v>
      </c>
      <c r="P31" s="16">
        <v>587</v>
      </c>
      <c r="Q31" s="18">
        <f t="shared" si="4"/>
        <v>3.9073148568832351E-2</v>
      </c>
      <c r="R31" s="18">
        <f t="shared" si="5"/>
        <v>0.26669695592912313</v>
      </c>
      <c r="S31" s="18">
        <f t="shared" si="3"/>
        <v>0.6942298955020445</v>
      </c>
    </row>
    <row r="32" spans="1:19" x14ac:dyDescent="0.2">
      <c r="A32" s="14" t="s">
        <v>75</v>
      </c>
      <c r="B32" s="14" t="s">
        <v>76</v>
      </c>
      <c r="C32" s="14" t="s">
        <v>22</v>
      </c>
      <c r="D32" s="15">
        <v>2</v>
      </c>
      <c r="E32" s="15">
        <v>14</v>
      </c>
      <c r="F32" s="14" t="s">
        <v>26</v>
      </c>
      <c r="G32" s="15">
        <v>0</v>
      </c>
      <c r="H32" s="15">
        <v>0</v>
      </c>
      <c r="I32" s="14" t="s">
        <v>26</v>
      </c>
      <c r="J32" s="15">
        <v>0</v>
      </c>
      <c r="K32" s="15">
        <v>0</v>
      </c>
      <c r="L32" s="16">
        <v>6459</v>
      </c>
      <c r="M32" s="16">
        <v>1777</v>
      </c>
      <c r="N32" s="17">
        <f t="shared" si="0"/>
        <v>0.27511998761418177</v>
      </c>
      <c r="O32" s="16">
        <v>0</v>
      </c>
      <c r="P32" s="16">
        <v>0</v>
      </c>
      <c r="Q32" s="18">
        <f t="shared" si="4"/>
        <v>0</v>
      </c>
      <c r="R32" s="18">
        <f t="shared" si="5"/>
        <v>0</v>
      </c>
      <c r="S32" s="18">
        <f t="shared" si="3"/>
        <v>1</v>
      </c>
    </row>
    <row r="33" spans="1:19" x14ac:dyDescent="0.2">
      <c r="A33" s="14" t="s">
        <v>77</v>
      </c>
      <c r="B33" s="14" t="s">
        <v>76</v>
      </c>
      <c r="C33" s="14" t="s">
        <v>22</v>
      </c>
      <c r="D33" s="15">
        <v>11</v>
      </c>
      <c r="E33" s="15">
        <v>71</v>
      </c>
      <c r="F33" s="14" t="s">
        <v>22</v>
      </c>
      <c r="G33" s="15">
        <v>1</v>
      </c>
      <c r="H33" s="15">
        <v>6</v>
      </c>
      <c r="I33" s="14" t="s">
        <v>22</v>
      </c>
      <c r="J33" s="15">
        <v>20</v>
      </c>
      <c r="K33" s="15">
        <v>6</v>
      </c>
      <c r="L33" s="16">
        <v>36068</v>
      </c>
      <c r="M33" s="16">
        <v>15981</v>
      </c>
      <c r="N33" s="17">
        <f t="shared" si="0"/>
        <v>0.44307973827215258</v>
      </c>
      <c r="O33" s="16">
        <v>1613</v>
      </c>
      <c r="P33" s="16">
        <v>0</v>
      </c>
      <c r="Q33" s="18">
        <f t="shared" si="4"/>
        <v>0.1009323571741443</v>
      </c>
      <c r="R33" s="18">
        <f t="shared" si="5"/>
        <v>0</v>
      </c>
      <c r="S33" s="18">
        <f t="shared" si="3"/>
        <v>0.89906764282585572</v>
      </c>
    </row>
    <row r="34" spans="1:19" x14ac:dyDescent="0.2">
      <c r="A34" s="14" t="s">
        <v>78</v>
      </c>
      <c r="B34" s="14" t="s">
        <v>44</v>
      </c>
      <c r="C34" s="14" t="s">
        <v>22</v>
      </c>
      <c r="D34" s="15">
        <v>5</v>
      </c>
      <c r="E34" s="15">
        <v>30</v>
      </c>
      <c r="F34" s="14" t="s">
        <v>22</v>
      </c>
      <c r="G34" s="15">
        <v>24</v>
      </c>
      <c r="H34" s="15">
        <v>9</v>
      </c>
      <c r="I34" s="14" t="s">
        <v>23</v>
      </c>
      <c r="J34" s="15">
        <v>13</v>
      </c>
      <c r="K34" s="15">
        <v>7</v>
      </c>
      <c r="L34" s="16">
        <v>27958</v>
      </c>
      <c r="M34" s="16">
        <v>7339</v>
      </c>
      <c r="N34" s="17">
        <f t="shared" si="0"/>
        <v>0.26250089419844053</v>
      </c>
      <c r="O34" s="16">
        <v>564</v>
      </c>
      <c r="P34" s="16">
        <v>0</v>
      </c>
      <c r="Q34" s="18">
        <f t="shared" si="4"/>
        <v>7.6849707044556473E-2</v>
      </c>
      <c r="R34" s="18">
        <f t="shared" si="5"/>
        <v>0</v>
      </c>
      <c r="S34" s="18">
        <f t="shared" si="3"/>
        <v>0.92315029295544349</v>
      </c>
    </row>
    <row r="35" spans="1:19" x14ac:dyDescent="0.2">
      <c r="A35" s="14" t="s">
        <v>79</v>
      </c>
      <c r="B35" s="14" t="s">
        <v>34</v>
      </c>
      <c r="C35" s="14" t="s">
        <v>22</v>
      </c>
      <c r="D35" s="15">
        <v>3</v>
      </c>
      <c r="E35" s="15">
        <v>27</v>
      </c>
      <c r="F35" s="14" t="s">
        <v>22</v>
      </c>
      <c r="G35" s="15">
        <v>16</v>
      </c>
      <c r="H35" s="15">
        <v>7</v>
      </c>
      <c r="I35" s="14" t="s">
        <v>23</v>
      </c>
      <c r="J35" s="15">
        <v>21</v>
      </c>
      <c r="K35" s="15">
        <v>7</v>
      </c>
      <c r="L35" s="16">
        <v>31142</v>
      </c>
      <c r="M35" s="16">
        <v>7904</v>
      </c>
      <c r="N35" s="17">
        <f t="shared" ref="N35:N66" si="6">M35/L35</f>
        <v>0.25380515060047526</v>
      </c>
      <c r="O35" s="16">
        <v>775</v>
      </c>
      <c r="P35" s="16">
        <v>0</v>
      </c>
      <c r="Q35" s="18">
        <f t="shared" si="4"/>
        <v>9.8051619433198386E-2</v>
      </c>
      <c r="R35" s="18">
        <f t="shared" si="5"/>
        <v>0</v>
      </c>
      <c r="S35" s="18">
        <f t="shared" ref="S35:S66" si="7">1-Q35-R35</f>
        <v>0.9019483805668016</v>
      </c>
    </row>
    <row r="36" spans="1:19" x14ac:dyDescent="0.2">
      <c r="A36" s="14" t="s">
        <v>80</v>
      </c>
      <c r="B36" s="14" t="s">
        <v>21</v>
      </c>
      <c r="C36" s="14" t="s">
        <v>22</v>
      </c>
      <c r="D36" s="15">
        <v>2</v>
      </c>
      <c r="E36" s="15">
        <v>23</v>
      </c>
      <c r="F36" s="14" t="s">
        <v>22</v>
      </c>
      <c r="G36" s="15">
        <v>33</v>
      </c>
      <c r="H36" s="15">
        <v>4</v>
      </c>
      <c r="I36" s="14" t="s">
        <v>22</v>
      </c>
      <c r="J36" s="15">
        <v>12</v>
      </c>
      <c r="K36" s="15">
        <v>3</v>
      </c>
      <c r="L36" s="16">
        <v>15285</v>
      </c>
      <c r="M36" s="16">
        <v>3385</v>
      </c>
      <c r="N36" s="17">
        <f t="shared" si="6"/>
        <v>0.22145894667975138</v>
      </c>
      <c r="O36" s="16">
        <v>451</v>
      </c>
      <c r="P36" s="16">
        <v>626</v>
      </c>
      <c r="Q36" s="18">
        <f t="shared" si="4"/>
        <v>0.13323485967503693</v>
      </c>
      <c r="R36" s="18">
        <f t="shared" si="5"/>
        <v>0.18493353028064993</v>
      </c>
      <c r="S36" s="18">
        <f t="shared" si="7"/>
        <v>0.68183161004431314</v>
      </c>
    </row>
    <row r="37" spans="1:19" x14ac:dyDescent="0.2">
      <c r="A37" s="14" t="s">
        <v>81</v>
      </c>
      <c r="B37" s="14" t="s">
        <v>47</v>
      </c>
      <c r="C37" s="14" t="s">
        <v>22</v>
      </c>
      <c r="D37" s="15">
        <v>4</v>
      </c>
      <c r="E37" s="15">
        <v>36</v>
      </c>
      <c r="F37" s="14" t="s">
        <v>22</v>
      </c>
      <c r="G37" s="15">
        <v>46</v>
      </c>
      <c r="H37" s="15">
        <v>12</v>
      </c>
      <c r="I37" s="14" t="s">
        <v>23</v>
      </c>
      <c r="J37" s="15">
        <v>32</v>
      </c>
      <c r="K37" s="15">
        <v>7</v>
      </c>
      <c r="L37" s="16">
        <v>20031</v>
      </c>
      <c r="M37" s="16">
        <v>8772</v>
      </c>
      <c r="N37" s="17">
        <f t="shared" si="6"/>
        <v>0.43792122210573609</v>
      </c>
      <c r="O37" s="16">
        <v>1271</v>
      </c>
      <c r="P37" s="16">
        <v>0</v>
      </c>
      <c r="Q37" s="18">
        <f t="shared" si="4"/>
        <v>0.14489284085727314</v>
      </c>
      <c r="R37" s="18">
        <f t="shared" si="5"/>
        <v>0</v>
      </c>
      <c r="S37" s="18">
        <f t="shared" si="7"/>
        <v>0.85510715914272684</v>
      </c>
    </row>
    <row r="38" spans="1:19" x14ac:dyDescent="0.2">
      <c r="A38" s="14" t="s">
        <v>82</v>
      </c>
      <c r="B38" s="14" t="s">
        <v>83</v>
      </c>
      <c r="C38" s="14" t="s">
        <v>22</v>
      </c>
      <c r="D38" s="15">
        <v>5</v>
      </c>
      <c r="E38" s="15">
        <v>41</v>
      </c>
      <c r="F38" s="14" t="s">
        <v>22</v>
      </c>
      <c r="G38" s="15">
        <v>1</v>
      </c>
      <c r="H38" s="15">
        <v>2</v>
      </c>
      <c r="I38" s="14" t="s">
        <v>22</v>
      </c>
      <c r="J38" s="15">
        <v>6</v>
      </c>
      <c r="K38" s="15">
        <v>1</v>
      </c>
      <c r="L38" s="16">
        <v>28197</v>
      </c>
      <c r="M38" s="16">
        <v>4001</v>
      </c>
      <c r="N38" s="17">
        <f t="shared" si="6"/>
        <v>0.14189452778664396</v>
      </c>
      <c r="O38" s="16">
        <v>0</v>
      </c>
      <c r="P38" s="16">
        <v>442</v>
      </c>
      <c r="Q38" s="18">
        <f t="shared" si="4"/>
        <v>0</v>
      </c>
      <c r="R38" s="18">
        <f t="shared" si="5"/>
        <v>0.11047238190452387</v>
      </c>
      <c r="S38" s="18">
        <f t="shared" si="7"/>
        <v>0.88952761809547609</v>
      </c>
    </row>
    <row r="39" spans="1:19" x14ac:dyDescent="0.2">
      <c r="A39" s="14" t="s">
        <v>84</v>
      </c>
      <c r="B39" s="14" t="s">
        <v>70</v>
      </c>
      <c r="C39" s="14" t="s">
        <v>22</v>
      </c>
      <c r="D39" s="15">
        <v>1</v>
      </c>
      <c r="E39" s="15">
        <v>9</v>
      </c>
      <c r="F39" s="14" t="s">
        <v>26</v>
      </c>
      <c r="G39" s="15">
        <v>0</v>
      </c>
      <c r="H39" s="15">
        <v>0</v>
      </c>
      <c r="I39" s="14" t="s">
        <v>26</v>
      </c>
      <c r="J39" s="15">
        <v>0</v>
      </c>
      <c r="K39" s="15">
        <v>0</v>
      </c>
      <c r="L39" s="16">
        <v>3729</v>
      </c>
      <c r="M39" s="16">
        <v>822</v>
      </c>
      <c r="N39" s="17">
        <f t="shared" si="6"/>
        <v>0.22043443282381336</v>
      </c>
      <c r="O39" s="16">
        <v>0</v>
      </c>
      <c r="P39" s="16">
        <v>0</v>
      </c>
      <c r="Q39" s="18">
        <f t="shared" si="4"/>
        <v>0</v>
      </c>
      <c r="R39" s="18">
        <f t="shared" si="5"/>
        <v>0</v>
      </c>
      <c r="S39" s="18">
        <f t="shared" si="7"/>
        <v>1</v>
      </c>
    </row>
    <row r="40" spans="1:19" x14ac:dyDescent="0.2">
      <c r="A40" s="14" t="s">
        <v>85</v>
      </c>
      <c r="B40" s="14" t="s">
        <v>76</v>
      </c>
      <c r="C40" s="14" t="s">
        <v>22</v>
      </c>
      <c r="D40" s="15">
        <v>4</v>
      </c>
      <c r="E40" s="15">
        <v>9</v>
      </c>
      <c r="F40" s="14" t="s">
        <v>22</v>
      </c>
      <c r="G40" s="15">
        <v>1</v>
      </c>
      <c r="H40" s="15">
        <v>1</v>
      </c>
      <c r="I40" s="14" t="s">
        <v>22</v>
      </c>
      <c r="J40" s="15">
        <v>10</v>
      </c>
      <c r="K40" s="15">
        <v>1</v>
      </c>
      <c r="L40" s="16">
        <v>9133</v>
      </c>
      <c r="M40" s="16">
        <v>1738</v>
      </c>
      <c r="N40" s="17">
        <f t="shared" si="6"/>
        <v>0.19029891601883281</v>
      </c>
      <c r="O40" s="16">
        <v>381</v>
      </c>
      <c r="P40" s="16">
        <v>0</v>
      </c>
      <c r="Q40" s="18">
        <f t="shared" si="4"/>
        <v>0.21921749136939012</v>
      </c>
      <c r="R40" s="18">
        <f t="shared" si="5"/>
        <v>0</v>
      </c>
      <c r="S40" s="18">
        <f t="shared" si="7"/>
        <v>0.78078250863060994</v>
      </c>
    </row>
    <row r="41" spans="1:19" x14ac:dyDescent="0.2">
      <c r="A41" s="14" t="s">
        <v>86</v>
      </c>
      <c r="B41" s="14" t="s">
        <v>36</v>
      </c>
      <c r="C41" s="14" t="s">
        <v>22</v>
      </c>
      <c r="D41" s="15">
        <v>5</v>
      </c>
      <c r="E41" s="15">
        <v>18</v>
      </c>
      <c r="F41" s="14" t="s">
        <v>22</v>
      </c>
      <c r="G41" s="15">
        <v>12</v>
      </c>
      <c r="H41" s="15">
        <v>3</v>
      </c>
      <c r="I41" s="14" t="s">
        <v>23</v>
      </c>
      <c r="J41" s="15">
        <v>13</v>
      </c>
      <c r="K41" s="15">
        <v>3</v>
      </c>
      <c r="L41" s="16">
        <v>8513</v>
      </c>
      <c r="M41" s="16">
        <v>2828</v>
      </c>
      <c r="N41" s="17">
        <f t="shared" si="6"/>
        <v>0.33219781510630803</v>
      </c>
      <c r="O41" s="16">
        <v>381</v>
      </c>
      <c r="P41" s="16">
        <v>0</v>
      </c>
      <c r="Q41" s="18">
        <f t="shared" si="4"/>
        <v>0.13472418670438471</v>
      </c>
      <c r="R41" s="18">
        <f t="shared" si="5"/>
        <v>0</v>
      </c>
      <c r="S41" s="18">
        <f t="shared" si="7"/>
        <v>0.86527581329561531</v>
      </c>
    </row>
    <row r="42" spans="1:19" x14ac:dyDescent="0.2">
      <c r="A42" s="14" t="s">
        <v>87</v>
      </c>
      <c r="B42" s="14" t="s">
        <v>21</v>
      </c>
      <c r="C42" s="14" t="s">
        <v>22</v>
      </c>
      <c r="D42" s="15">
        <v>2</v>
      </c>
      <c r="E42" s="15">
        <v>18</v>
      </c>
      <c r="F42" s="14" t="s">
        <v>22</v>
      </c>
      <c r="G42" s="15">
        <v>15</v>
      </c>
      <c r="H42" s="15">
        <v>7</v>
      </c>
      <c r="I42" s="14" t="s">
        <v>23</v>
      </c>
      <c r="J42" s="15">
        <v>10</v>
      </c>
      <c r="K42" s="15">
        <v>2</v>
      </c>
      <c r="L42" s="16">
        <v>27917</v>
      </c>
      <c r="M42" s="16">
        <v>3974</v>
      </c>
      <c r="N42" s="17">
        <f t="shared" si="6"/>
        <v>0.14235053909804063</v>
      </c>
      <c r="O42" s="16">
        <v>218</v>
      </c>
      <c r="P42" s="16">
        <v>0</v>
      </c>
      <c r="Q42" s="18">
        <f t="shared" si="4"/>
        <v>5.4856567689984904E-2</v>
      </c>
      <c r="R42" s="18">
        <f t="shared" si="5"/>
        <v>0</v>
      </c>
      <c r="S42" s="18">
        <f t="shared" si="7"/>
        <v>0.94514343231001507</v>
      </c>
    </row>
    <row r="43" spans="1:19" x14ac:dyDescent="0.2">
      <c r="A43" s="14" t="s">
        <v>88</v>
      </c>
      <c r="B43" s="14" t="s">
        <v>53</v>
      </c>
      <c r="C43" s="14" t="s">
        <v>22</v>
      </c>
      <c r="D43" s="15">
        <v>2</v>
      </c>
      <c r="E43" s="15">
        <v>29</v>
      </c>
      <c r="F43" s="14" t="s">
        <v>22</v>
      </c>
      <c r="G43" s="15">
        <v>11</v>
      </c>
      <c r="H43" s="15">
        <v>3</v>
      </c>
      <c r="I43" s="14" t="s">
        <v>22</v>
      </c>
      <c r="J43" s="15">
        <v>11</v>
      </c>
      <c r="K43" s="15">
        <v>3</v>
      </c>
      <c r="L43" s="16">
        <v>50105</v>
      </c>
      <c r="M43" s="16">
        <v>9523</v>
      </c>
      <c r="N43" s="17">
        <f t="shared" si="6"/>
        <v>0.19006087216844628</v>
      </c>
      <c r="O43" s="16">
        <v>0</v>
      </c>
      <c r="P43" s="16">
        <v>1912</v>
      </c>
      <c r="Q43" s="18">
        <f t="shared" si="4"/>
        <v>0</v>
      </c>
      <c r="R43" s="18">
        <f t="shared" si="5"/>
        <v>0.20077706605061429</v>
      </c>
      <c r="S43" s="18">
        <f t="shared" si="7"/>
        <v>0.79922293394938571</v>
      </c>
    </row>
    <row r="44" spans="1:19" x14ac:dyDescent="0.2">
      <c r="A44" s="14" t="s">
        <v>89</v>
      </c>
      <c r="B44" s="14" t="s">
        <v>49</v>
      </c>
      <c r="C44" s="14" t="s">
        <v>22</v>
      </c>
      <c r="D44" s="15">
        <v>3</v>
      </c>
      <c r="E44" s="15">
        <v>27</v>
      </c>
      <c r="F44" s="14" t="s">
        <v>22</v>
      </c>
      <c r="G44" s="15">
        <v>14</v>
      </c>
      <c r="H44" s="15">
        <v>10</v>
      </c>
      <c r="I44" s="14" t="s">
        <v>22</v>
      </c>
      <c r="J44" s="15">
        <v>9</v>
      </c>
      <c r="K44" s="15">
        <v>2</v>
      </c>
      <c r="L44" s="16">
        <v>30420</v>
      </c>
      <c r="M44" s="16">
        <v>6943</v>
      </c>
      <c r="N44" s="17">
        <f t="shared" si="6"/>
        <v>0.22823800131492439</v>
      </c>
      <c r="O44" s="16">
        <v>335</v>
      </c>
      <c r="P44" s="16">
        <v>911</v>
      </c>
      <c r="Q44" s="18">
        <f t="shared" si="4"/>
        <v>4.8250036007489561E-2</v>
      </c>
      <c r="R44" s="18">
        <f t="shared" si="5"/>
        <v>0.13121129194872533</v>
      </c>
      <c r="S44" s="18">
        <f t="shared" si="7"/>
        <v>0.82053867204378506</v>
      </c>
    </row>
    <row r="45" spans="1:19" x14ac:dyDescent="0.2">
      <c r="A45" s="14" t="s">
        <v>90</v>
      </c>
      <c r="B45" s="14" t="s">
        <v>34</v>
      </c>
      <c r="C45" s="14" t="s">
        <v>22</v>
      </c>
      <c r="D45" s="15">
        <v>2</v>
      </c>
      <c r="E45" s="15">
        <v>11</v>
      </c>
      <c r="F45" s="14" t="s">
        <v>22</v>
      </c>
      <c r="G45" s="15">
        <v>17</v>
      </c>
      <c r="H45" s="15">
        <v>6</v>
      </c>
      <c r="I45" s="14" t="s">
        <v>22</v>
      </c>
      <c r="J45" s="15">
        <v>14</v>
      </c>
      <c r="K45" s="15">
        <v>6</v>
      </c>
      <c r="L45" s="16">
        <v>14173</v>
      </c>
      <c r="M45" s="16">
        <v>5494</v>
      </c>
      <c r="N45" s="17">
        <f t="shared" si="6"/>
        <v>0.38763846750864317</v>
      </c>
      <c r="O45" s="16">
        <v>72</v>
      </c>
      <c r="P45" s="16">
        <v>1591</v>
      </c>
      <c r="Q45" s="18">
        <f t="shared" si="4"/>
        <v>1.3105205678922462E-2</v>
      </c>
      <c r="R45" s="18">
        <f t="shared" si="5"/>
        <v>0.28958864215507829</v>
      </c>
      <c r="S45" s="18">
        <f t="shared" si="7"/>
        <v>0.69730615216599923</v>
      </c>
    </row>
    <row r="46" spans="1:19" x14ac:dyDescent="0.2">
      <c r="A46" s="14" t="s">
        <v>91</v>
      </c>
      <c r="B46" s="14" t="s">
        <v>92</v>
      </c>
      <c r="C46" s="14" t="s">
        <v>22</v>
      </c>
      <c r="D46" s="15">
        <v>1</v>
      </c>
      <c r="E46" s="15">
        <v>20</v>
      </c>
      <c r="F46" s="14" t="s">
        <v>22</v>
      </c>
      <c r="G46" s="15">
        <v>9</v>
      </c>
      <c r="H46" s="15">
        <v>3</v>
      </c>
      <c r="I46" s="14" t="s">
        <v>22</v>
      </c>
      <c r="J46" s="15">
        <v>6</v>
      </c>
      <c r="K46" s="15">
        <v>1</v>
      </c>
      <c r="L46" s="16">
        <v>4797</v>
      </c>
      <c r="M46" s="16">
        <v>1587</v>
      </c>
      <c r="N46" s="17">
        <f t="shared" si="6"/>
        <v>0.33083176985616009</v>
      </c>
      <c r="O46" s="16">
        <v>128</v>
      </c>
      <c r="P46" s="16">
        <v>157</v>
      </c>
      <c r="Q46" s="18">
        <f t="shared" si="4"/>
        <v>8.0655324511657217E-2</v>
      </c>
      <c r="R46" s="18">
        <f t="shared" si="5"/>
        <v>9.8928796471329558E-2</v>
      </c>
      <c r="S46" s="18">
        <f t="shared" si="7"/>
        <v>0.82041587901701318</v>
      </c>
    </row>
    <row r="47" spans="1:19" x14ac:dyDescent="0.2">
      <c r="A47" s="14" t="s">
        <v>93</v>
      </c>
      <c r="B47" s="14" t="s">
        <v>53</v>
      </c>
      <c r="C47" s="14" t="s">
        <v>22</v>
      </c>
      <c r="D47" s="15">
        <v>2</v>
      </c>
      <c r="E47" s="15">
        <v>21</v>
      </c>
      <c r="F47" s="14" t="s">
        <v>22</v>
      </c>
      <c r="G47" s="15">
        <v>10</v>
      </c>
      <c r="H47" s="15">
        <v>2</v>
      </c>
      <c r="I47" s="14" t="s">
        <v>22</v>
      </c>
      <c r="J47" s="15">
        <v>5</v>
      </c>
      <c r="K47" s="15">
        <v>1</v>
      </c>
      <c r="L47" s="16">
        <v>19708</v>
      </c>
      <c r="M47" s="16">
        <v>5463</v>
      </c>
      <c r="N47" s="17">
        <f t="shared" si="6"/>
        <v>0.27719707732900345</v>
      </c>
      <c r="O47" s="16">
        <v>376</v>
      </c>
      <c r="P47" s="16">
        <v>522</v>
      </c>
      <c r="Q47" s="18">
        <f t="shared" ref="Q47:Q71" si="8">O47/$M47</f>
        <v>6.8826652022698151E-2</v>
      </c>
      <c r="R47" s="18">
        <f t="shared" ref="R47:R71" si="9">P47/$M47</f>
        <v>9.5551894563426693E-2</v>
      </c>
      <c r="S47" s="18">
        <f t="shared" si="7"/>
        <v>0.83562145341387517</v>
      </c>
    </row>
    <row r="48" spans="1:19" x14ac:dyDescent="0.2">
      <c r="A48" s="14" t="s">
        <v>94</v>
      </c>
      <c r="B48" s="14" t="s">
        <v>95</v>
      </c>
      <c r="C48" s="14" t="s">
        <v>22</v>
      </c>
      <c r="D48" s="15">
        <v>3</v>
      </c>
      <c r="E48" s="15">
        <v>29</v>
      </c>
      <c r="F48" s="14" t="s">
        <v>22</v>
      </c>
      <c r="G48" s="15">
        <v>11</v>
      </c>
      <c r="H48" s="15">
        <v>10</v>
      </c>
      <c r="I48" s="14" t="s">
        <v>22</v>
      </c>
      <c r="J48" s="15">
        <v>9</v>
      </c>
      <c r="K48" s="15">
        <v>10</v>
      </c>
      <c r="L48" s="16">
        <v>23216</v>
      </c>
      <c r="M48" s="16">
        <v>7632</v>
      </c>
      <c r="N48" s="17">
        <f t="shared" si="6"/>
        <v>0.32873880082701584</v>
      </c>
      <c r="O48" s="16">
        <v>198</v>
      </c>
      <c r="P48" s="16">
        <v>1142</v>
      </c>
      <c r="Q48" s="18">
        <f t="shared" si="8"/>
        <v>2.5943396226415096E-2</v>
      </c>
      <c r="R48" s="18">
        <f t="shared" si="9"/>
        <v>0.14963312368972748</v>
      </c>
      <c r="S48" s="18">
        <f t="shared" si="7"/>
        <v>0.82442348008385746</v>
      </c>
    </row>
    <row r="49" spans="1:19" x14ac:dyDescent="0.2">
      <c r="A49" s="14" t="s">
        <v>96</v>
      </c>
      <c r="B49" s="14" t="s">
        <v>36</v>
      </c>
      <c r="C49" s="14" t="s">
        <v>22</v>
      </c>
      <c r="D49" s="15">
        <v>3</v>
      </c>
      <c r="E49" s="15">
        <v>16</v>
      </c>
      <c r="F49" s="14" t="s">
        <v>26</v>
      </c>
      <c r="G49" s="15">
        <v>0</v>
      </c>
      <c r="H49" s="15">
        <v>0</v>
      </c>
      <c r="I49" s="14" t="s">
        <v>26</v>
      </c>
      <c r="J49" s="15">
        <v>0</v>
      </c>
      <c r="K49" s="15">
        <v>0</v>
      </c>
      <c r="L49" s="16">
        <v>3966</v>
      </c>
      <c r="M49" s="16">
        <v>1239</v>
      </c>
      <c r="N49" s="17">
        <f t="shared" si="6"/>
        <v>0.3124054462934947</v>
      </c>
      <c r="O49" s="16">
        <v>0</v>
      </c>
      <c r="P49" s="16">
        <v>0</v>
      </c>
      <c r="Q49" s="18">
        <f t="shared" si="8"/>
        <v>0</v>
      </c>
      <c r="R49" s="18">
        <f t="shared" si="9"/>
        <v>0</v>
      </c>
      <c r="S49" s="18">
        <f t="shared" si="7"/>
        <v>1</v>
      </c>
    </row>
    <row r="50" spans="1:19" x14ac:dyDescent="0.2">
      <c r="A50" s="14" t="s">
        <v>97</v>
      </c>
      <c r="B50" s="14" t="s">
        <v>55</v>
      </c>
      <c r="C50" s="14" t="s">
        <v>22</v>
      </c>
      <c r="D50" s="15">
        <v>2</v>
      </c>
      <c r="E50" s="15">
        <v>23</v>
      </c>
      <c r="F50" s="14" t="s">
        <v>22</v>
      </c>
      <c r="G50" s="15">
        <v>23</v>
      </c>
      <c r="H50" s="15">
        <v>6</v>
      </c>
      <c r="I50" s="14" t="s">
        <v>22</v>
      </c>
      <c r="J50" s="15">
        <v>16</v>
      </c>
      <c r="K50" s="15">
        <v>4</v>
      </c>
      <c r="L50" s="16">
        <v>26458</v>
      </c>
      <c r="M50" s="16">
        <v>3070</v>
      </c>
      <c r="N50" s="17">
        <f t="shared" si="6"/>
        <v>0.11603295789553254</v>
      </c>
      <c r="O50" s="16">
        <v>110</v>
      </c>
      <c r="P50" s="16">
        <v>729</v>
      </c>
      <c r="Q50" s="18">
        <f t="shared" si="8"/>
        <v>3.5830618892508145E-2</v>
      </c>
      <c r="R50" s="18">
        <f t="shared" si="9"/>
        <v>0.23745928338762215</v>
      </c>
      <c r="S50" s="18">
        <f t="shared" si="7"/>
        <v>0.72671009771986972</v>
      </c>
    </row>
    <row r="51" spans="1:19" x14ac:dyDescent="0.2">
      <c r="A51" s="14" t="s">
        <v>98</v>
      </c>
      <c r="B51" s="14" t="s">
        <v>25</v>
      </c>
      <c r="C51" s="14" t="s">
        <v>22</v>
      </c>
      <c r="D51" s="15">
        <v>3</v>
      </c>
      <c r="E51" s="15">
        <v>23</v>
      </c>
      <c r="F51" s="14" t="s">
        <v>22</v>
      </c>
      <c r="G51" s="15">
        <v>12</v>
      </c>
      <c r="H51" s="15">
        <v>1</v>
      </c>
      <c r="I51" s="14" t="s">
        <v>22</v>
      </c>
      <c r="J51" s="15">
        <v>13</v>
      </c>
      <c r="K51" s="15">
        <v>1</v>
      </c>
      <c r="L51" s="16">
        <v>13363</v>
      </c>
      <c r="M51" s="16">
        <v>3451</v>
      </c>
      <c r="N51" s="17">
        <f t="shared" si="6"/>
        <v>0.25825039287585122</v>
      </c>
      <c r="O51" s="16">
        <v>45</v>
      </c>
      <c r="P51" s="16">
        <v>510</v>
      </c>
      <c r="Q51" s="18">
        <f t="shared" si="8"/>
        <v>1.3039698638075921E-2</v>
      </c>
      <c r="R51" s="18">
        <f t="shared" si="9"/>
        <v>0.14778325123152711</v>
      </c>
      <c r="S51" s="18">
        <f t="shared" si="7"/>
        <v>0.8391770501303969</v>
      </c>
    </row>
    <row r="52" spans="1:19" x14ac:dyDescent="0.2">
      <c r="A52" s="14" t="s">
        <v>99</v>
      </c>
      <c r="B52" s="14" t="s">
        <v>62</v>
      </c>
      <c r="C52" s="14" t="s">
        <v>22</v>
      </c>
      <c r="D52" s="15">
        <v>1</v>
      </c>
      <c r="E52" s="15">
        <v>13</v>
      </c>
      <c r="F52" s="14" t="s">
        <v>22</v>
      </c>
      <c r="G52" s="15">
        <v>13</v>
      </c>
      <c r="H52" s="15">
        <v>2</v>
      </c>
      <c r="I52" s="14" t="s">
        <v>22</v>
      </c>
      <c r="J52" s="15">
        <v>10</v>
      </c>
      <c r="K52" s="15">
        <v>1</v>
      </c>
      <c r="L52" s="16">
        <v>13832</v>
      </c>
      <c r="M52" s="16">
        <v>2390</v>
      </c>
      <c r="N52" s="17">
        <f t="shared" si="6"/>
        <v>0.17278773857721227</v>
      </c>
      <c r="O52" s="16">
        <v>101</v>
      </c>
      <c r="P52" s="16">
        <v>488</v>
      </c>
      <c r="Q52" s="18">
        <f t="shared" si="8"/>
        <v>4.225941422594142E-2</v>
      </c>
      <c r="R52" s="18">
        <f t="shared" si="9"/>
        <v>0.20418410041841004</v>
      </c>
      <c r="S52" s="18">
        <f t="shared" si="7"/>
        <v>0.75355648535564856</v>
      </c>
    </row>
    <row r="53" spans="1:19" x14ac:dyDescent="0.2">
      <c r="A53" s="14" t="s">
        <v>100</v>
      </c>
      <c r="B53" s="14" t="s">
        <v>21</v>
      </c>
      <c r="C53" s="14" t="s">
        <v>22</v>
      </c>
      <c r="D53" s="15">
        <v>2</v>
      </c>
      <c r="E53" s="15">
        <v>25</v>
      </c>
      <c r="F53" s="14" t="s">
        <v>22</v>
      </c>
      <c r="G53" s="15">
        <v>42</v>
      </c>
      <c r="H53" s="15">
        <v>12</v>
      </c>
      <c r="I53" s="14" t="s">
        <v>22</v>
      </c>
      <c r="J53" s="15">
        <v>24</v>
      </c>
      <c r="K53" s="15">
        <v>6</v>
      </c>
      <c r="L53" s="16">
        <v>18517</v>
      </c>
      <c r="M53" s="16">
        <v>4127</v>
      </c>
      <c r="N53" s="17">
        <f t="shared" si="6"/>
        <v>0.22287627585462008</v>
      </c>
      <c r="O53" s="16">
        <v>558</v>
      </c>
      <c r="P53" s="16">
        <v>1003</v>
      </c>
      <c r="Q53" s="18">
        <f t="shared" si="8"/>
        <v>0.13520717228010662</v>
      </c>
      <c r="R53" s="18">
        <f t="shared" si="9"/>
        <v>0.24303368063968986</v>
      </c>
      <c r="S53" s="18">
        <f t="shared" si="7"/>
        <v>0.62175914708020352</v>
      </c>
    </row>
    <row r="54" spans="1:19" x14ac:dyDescent="0.2">
      <c r="A54" s="14" t="s">
        <v>101</v>
      </c>
      <c r="B54" s="14" t="s">
        <v>72</v>
      </c>
      <c r="C54" s="14" t="s">
        <v>22</v>
      </c>
      <c r="D54" s="15">
        <v>5</v>
      </c>
      <c r="E54" s="15">
        <v>18</v>
      </c>
      <c r="F54" s="14" t="s">
        <v>22</v>
      </c>
      <c r="G54" s="15">
        <v>18</v>
      </c>
      <c r="H54" s="15">
        <v>6</v>
      </c>
      <c r="I54" s="14" t="s">
        <v>23</v>
      </c>
      <c r="J54" s="15">
        <v>5</v>
      </c>
      <c r="K54" s="15">
        <v>1</v>
      </c>
      <c r="L54" s="16">
        <v>10104</v>
      </c>
      <c r="M54" s="16">
        <v>3530</v>
      </c>
      <c r="N54" s="17">
        <f t="shared" si="6"/>
        <v>0.34936658749010291</v>
      </c>
      <c r="O54" s="16">
        <v>1134</v>
      </c>
      <c r="P54" s="16">
        <v>0</v>
      </c>
      <c r="Q54" s="18">
        <f t="shared" si="8"/>
        <v>0.32124645892351272</v>
      </c>
      <c r="R54" s="18">
        <f t="shared" si="9"/>
        <v>0</v>
      </c>
      <c r="S54" s="18">
        <f t="shared" si="7"/>
        <v>0.67875354107648733</v>
      </c>
    </row>
    <row r="55" spans="1:19" x14ac:dyDescent="0.2">
      <c r="A55" s="14" t="s">
        <v>102</v>
      </c>
      <c r="B55" s="14" t="s">
        <v>62</v>
      </c>
      <c r="C55" s="14" t="s">
        <v>22</v>
      </c>
      <c r="D55" s="15">
        <v>2</v>
      </c>
      <c r="E55" s="15">
        <v>11</v>
      </c>
      <c r="F55" s="14" t="s">
        <v>22</v>
      </c>
      <c r="G55" s="15">
        <v>8</v>
      </c>
      <c r="H55" s="15">
        <v>1</v>
      </c>
      <c r="I55" s="14" t="s">
        <v>22</v>
      </c>
      <c r="J55" s="15">
        <v>7</v>
      </c>
      <c r="K55" s="15">
        <v>1</v>
      </c>
      <c r="L55" s="16">
        <v>6144</v>
      </c>
      <c r="M55" s="16">
        <v>1656</v>
      </c>
      <c r="N55" s="17">
        <f t="shared" si="6"/>
        <v>0.26953125</v>
      </c>
      <c r="O55" s="16">
        <v>17</v>
      </c>
      <c r="P55" s="16">
        <v>487</v>
      </c>
      <c r="Q55" s="18">
        <f t="shared" si="8"/>
        <v>1.0265700483091788E-2</v>
      </c>
      <c r="R55" s="18">
        <f t="shared" si="9"/>
        <v>0.29408212560386471</v>
      </c>
      <c r="S55" s="18">
        <f t="shared" si="7"/>
        <v>0.69565217391304346</v>
      </c>
    </row>
    <row r="56" spans="1:19" x14ac:dyDescent="0.2">
      <c r="A56" s="14" t="s">
        <v>103</v>
      </c>
      <c r="B56" s="14" t="s">
        <v>62</v>
      </c>
      <c r="C56" s="14" t="s">
        <v>22</v>
      </c>
      <c r="D56" s="15">
        <v>2</v>
      </c>
      <c r="E56" s="15">
        <v>26</v>
      </c>
      <c r="F56" s="14" t="s">
        <v>22</v>
      </c>
      <c r="G56" s="15">
        <v>14</v>
      </c>
      <c r="H56" s="15">
        <v>3</v>
      </c>
      <c r="I56" s="14" t="s">
        <v>59</v>
      </c>
      <c r="J56" s="15">
        <v>17</v>
      </c>
      <c r="K56" s="15">
        <v>3</v>
      </c>
      <c r="L56" s="16">
        <v>21716</v>
      </c>
      <c r="M56" s="16">
        <v>2359</v>
      </c>
      <c r="N56" s="17">
        <f t="shared" si="6"/>
        <v>0.10862958187511512</v>
      </c>
      <c r="O56" s="16">
        <v>117</v>
      </c>
      <c r="P56" s="16">
        <v>0</v>
      </c>
      <c r="Q56" s="18">
        <f t="shared" si="8"/>
        <v>4.959728698601102E-2</v>
      </c>
      <c r="R56" s="18">
        <f t="shared" si="9"/>
        <v>0</v>
      </c>
      <c r="S56" s="18">
        <f t="shared" si="7"/>
        <v>0.95040271301398893</v>
      </c>
    </row>
    <row r="57" spans="1:19" x14ac:dyDescent="0.2">
      <c r="A57" s="14" t="s">
        <v>104</v>
      </c>
      <c r="B57" s="14" t="s">
        <v>62</v>
      </c>
      <c r="C57" s="14" t="s">
        <v>22</v>
      </c>
      <c r="D57" s="15">
        <v>2</v>
      </c>
      <c r="E57" s="15">
        <v>21</v>
      </c>
      <c r="F57" s="14" t="s">
        <v>105</v>
      </c>
      <c r="G57" s="15">
        <v>5</v>
      </c>
      <c r="H57" s="15">
        <v>2</v>
      </c>
      <c r="I57" s="14" t="s">
        <v>26</v>
      </c>
      <c r="J57" s="15">
        <v>0</v>
      </c>
      <c r="K57" s="15">
        <v>0</v>
      </c>
      <c r="L57" s="16">
        <v>13257</v>
      </c>
      <c r="M57" s="16">
        <v>2321</v>
      </c>
      <c r="N57" s="17">
        <f t="shared" si="6"/>
        <v>0.17507731764350909</v>
      </c>
      <c r="O57" s="16">
        <v>0</v>
      </c>
      <c r="P57" s="16">
        <v>0</v>
      </c>
      <c r="Q57" s="18">
        <f t="shared" si="8"/>
        <v>0</v>
      </c>
      <c r="R57" s="18">
        <f t="shared" si="9"/>
        <v>0</v>
      </c>
      <c r="S57" s="18">
        <f t="shared" si="7"/>
        <v>1</v>
      </c>
    </row>
    <row r="58" spans="1:19" x14ac:dyDescent="0.2">
      <c r="A58" s="14" t="s">
        <v>106</v>
      </c>
      <c r="B58" s="14" t="s">
        <v>62</v>
      </c>
      <c r="C58" s="14" t="s">
        <v>22</v>
      </c>
      <c r="D58" s="15">
        <v>2</v>
      </c>
      <c r="E58" s="15">
        <v>10</v>
      </c>
      <c r="F58" s="14" t="s">
        <v>22</v>
      </c>
      <c r="G58" s="15">
        <v>28</v>
      </c>
      <c r="H58" s="15">
        <v>4</v>
      </c>
      <c r="I58" s="14" t="s">
        <v>22</v>
      </c>
      <c r="J58" s="15">
        <v>11</v>
      </c>
      <c r="K58" s="15">
        <v>4</v>
      </c>
      <c r="L58" s="16">
        <v>7773</v>
      </c>
      <c r="M58" s="16">
        <v>1692</v>
      </c>
      <c r="N58" s="17">
        <f t="shared" si="6"/>
        <v>0.21767657275183327</v>
      </c>
      <c r="O58" s="16">
        <v>220</v>
      </c>
      <c r="P58" s="16">
        <v>360</v>
      </c>
      <c r="Q58" s="18">
        <f t="shared" si="8"/>
        <v>0.13002364066193853</v>
      </c>
      <c r="R58" s="18">
        <f t="shared" si="9"/>
        <v>0.21276595744680851</v>
      </c>
      <c r="S58" s="18">
        <f t="shared" si="7"/>
        <v>0.65721040189125302</v>
      </c>
    </row>
    <row r="59" spans="1:19" x14ac:dyDescent="0.2">
      <c r="A59" s="14" t="s">
        <v>107</v>
      </c>
      <c r="B59" s="14" t="s">
        <v>108</v>
      </c>
      <c r="C59" s="14" t="s">
        <v>22</v>
      </c>
      <c r="D59" s="15">
        <v>1</v>
      </c>
      <c r="E59" s="15">
        <v>33</v>
      </c>
      <c r="F59" s="14" t="s">
        <v>22</v>
      </c>
      <c r="G59" s="15">
        <v>27</v>
      </c>
      <c r="H59" s="15">
        <v>8</v>
      </c>
      <c r="I59" s="14" t="s">
        <v>23</v>
      </c>
      <c r="J59" s="15">
        <v>24</v>
      </c>
      <c r="K59" s="15">
        <v>5</v>
      </c>
      <c r="L59" s="16">
        <v>39509</v>
      </c>
      <c r="M59" s="16">
        <v>8115</v>
      </c>
      <c r="N59" s="17">
        <f t="shared" si="6"/>
        <v>0.20539623883165861</v>
      </c>
      <c r="O59" s="16">
        <v>986</v>
      </c>
      <c r="P59" s="16">
        <v>0</v>
      </c>
      <c r="Q59" s="18">
        <f t="shared" si="8"/>
        <v>0.1215033887861984</v>
      </c>
      <c r="R59" s="18">
        <f t="shared" si="9"/>
        <v>0</v>
      </c>
      <c r="S59" s="18">
        <f t="shared" si="7"/>
        <v>0.87849661121380163</v>
      </c>
    </row>
    <row r="60" spans="1:19" x14ac:dyDescent="0.2">
      <c r="A60" s="14" t="s">
        <v>109</v>
      </c>
      <c r="B60" s="14" t="s">
        <v>62</v>
      </c>
      <c r="C60" s="14" t="s">
        <v>22</v>
      </c>
      <c r="D60" s="15">
        <v>1</v>
      </c>
      <c r="E60" s="15">
        <v>12</v>
      </c>
      <c r="F60" s="14" t="s">
        <v>110</v>
      </c>
      <c r="G60" s="15">
        <v>4</v>
      </c>
      <c r="H60" s="15">
        <v>3</v>
      </c>
      <c r="I60" s="14" t="s">
        <v>111</v>
      </c>
      <c r="J60" s="15">
        <v>6</v>
      </c>
      <c r="K60" s="15">
        <v>2</v>
      </c>
      <c r="L60" s="16">
        <v>6044</v>
      </c>
      <c r="M60" s="16">
        <v>878</v>
      </c>
      <c r="N60" s="17">
        <f t="shared" si="6"/>
        <v>0.14526803441429517</v>
      </c>
      <c r="O60" s="16">
        <v>0</v>
      </c>
      <c r="P60" s="16">
        <v>0</v>
      </c>
      <c r="Q60" s="18">
        <f t="shared" si="8"/>
        <v>0</v>
      </c>
      <c r="R60" s="18">
        <f t="shared" si="9"/>
        <v>0</v>
      </c>
      <c r="S60" s="18">
        <f t="shared" si="7"/>
        <v>1</v>
      </c>
    </row>
    <row r="61" spans="1:19" x14ac:dyDescent="0.2">
      <c r="A61" s="14" t="s">
        <v>112</v>
      </c>
      <c r="B61" s="14" t="s">
        <v>113</v>
      </c>
      <c r="C61" s="14" t="s">
        <v>22</v>
      </c>
      <c r="D61" s="15">
        <v>4</v>
      </c>
      <c r="E61" s="15">
        <v>24</v>
      </c>
      <c r="F61" s="14" t="s">
        <v>22</v>
      </c>
      <c r="G61" s="15">
        <v>4</v>
      </c>
      <c r="H61" s="15">
        <v>5</v>
      </c>
      <c r="I61" s="14" t="s">
        <v>23</v>
      </c>
      <c r="J61" s="15">
        <v>4</v>
      </c>
      <c r="K61" s="15">
        <v>5</v>
      </c>
      <c r="L61" s="16">
        <v>10894</v>
      </c>
      <c r="M61" s="16">
        <v>5805</v>
      </c>
      <c r="N61" s="17">
        <f t="shared" si="6"/>
        <v>0.53286212594088489</v>
      </c>
      <c r="O61" s="16">
        <v>1091</v>
      </c>
      <c r="P61" s="16">
        <v>0</v>
      </c>
      <c r="Q61" s="18">
        <f t="shared" si="8"/>
        <v>0.1879414298018949</v>
      </c>
      <c r="R61" s="18">
        <f t="shared" si="9"/>
        <v>0</v>
      </c>
      <c r="S61" s="18">
        <f t="shared" si="7"/>
        <v>0.81205857019810512</v>
      </c>
    </row>
    <row r="62" spans="1:19" x14ac:dyDescent="0.2">
      <c r="A62" s="14" t="s">
        <v>114</v>
      </c>
      <c r="B62" s="14" t="s">
        <v>62</v>
      </c>
      <c r="C62" s="14" t="s">
        <v>22</v>
      </c>
      <c r="D62" s="15">
        <v>1</v>
      </c>
      <c r="E62" s="15">
        <v>4</v>
      </c>
      <c r="F62" s="14" t="s">
        <v>22</v>
      </c>
      <c r="G62" s="15">
        <v>8</v>
      </c>
      <c r="H62" s="15">
        <v>1</v>
      </c>
      <c r="I62" s="14" t="s">
        <v>110</v>
      </c>
      <c r="J62" s="15">
        <v>5</v>
      </c>
      <c r="K62" s="15">
        <v>1</v>
      </c>
      <c r="L62" s="16">
        <v>6582</v>
      </c>
      <c r="M62" s="16">
        <v>343</v>
      </c>
      <c r="N62" s="17">
        <f t="shared" si="6"/>
        <v>5.2111820115466424E-2</v>
      </c>
      <c r="O62" s="16">
        <v>53</v>
      </c>
      <c r="P62" s="16">
        <v>0</v>
      </c>
      <c r="Q62" s="18">
        <f t="shared" si="8"/>
        <v>0.15451895043731778</v>
      </c>
      <c r="R62" s="18">
        <f t="shared" si="9"/>
        <v>0</v>
      </c>
      <c r="S62" s="18">
        <f t="shared" si="7"/>
        <v>0.84548104956268222</v>
      </c>
    </row>
    <row r="63" spans="1:19" x14ac:dyDescent="0.2">
      <c r="A63" s="14" t="s">
        <v>115</v>
      </c>
      <c r="B63" s="14" t="s">
        <v>25</v>
      </c>
      <c r="C63" s="14" t="s">
        <v>22</v>
      </c>
      <c r="D63" s="15">
        <v>4</v>
      </c>
      <c r="E63" s="15">
        <v>11</v>
      </c>
      <c r="F63" s="14" t="s">
        <v>26</v>
      </c>
      <c r="G63" s="15">
        <v>0</v>
      </c>
      <c r="H63" s="15">
        <v>0</v>
      </c>
      <c r="I63" s="14" t="s">
        <v>26</v>
      </c>
      <c r="J63" s="15">
        <v>0</v>
      </c>
      <c r="K63" s="15">
        <v>0</v>
      </c>
      <c r="L63" s="16">
        <v>12151</v>
      </c>
      <c r="M63" s="16">
        <v>1986</v>
      </c>
      <c r="N63" s="17">
        <f t="shared" si="6"/>
        <v>0.16344333799687269</v>
      </c>
      <c r="O63" s="16">
        <v>0</v>
      </c>
      <c r="P63" s="16">
        <v>0</v>
      </c>
      <c r="Q63" s="18">
        <f t="shared" si="8"/>
        <v>0</v>
      </c>
      <c r="R63" s="18">
        <f t="shared" si="9"/>
        <v>0</v>
      </c>
      <c r="S63" s="18">
        <f t="shared" si="7"/>
        <v>1</v>
      </c>
    </row>
    <row r="64" spans="1:19" x14ac:dyDescent="0.2">
      <c r="A64" s="14" t="s">
        <v>116</v>
      </c>
      <c r="B64" s="14" t="s">
        <v>76</v>
      </c>
      <c r="C64" s="14" t="s">
        <v>22</v>
      </c>
      <c r="D64" s="15">
        <v>4</v>
      </c>
      <c r="E64" s="15">
        <v>18</v>
      </c>
      <c r="F64" s="14" t="s">
        <v>26</v>
      </c>
      <c r="G64" s="15">
        <v>0</v>
      </c>
      <c r="H64" s="15">
        <v>0</v>
      </c>
      <c r="I64" s="14" t="s">
        <v>26</v>
      </c>
      <c r="J64" s="15">
        <v>0</v>
      </c>
      <c r="K64" s="15">
        <v>0</v>
      </c>
      <c r="L64" s="16">
        <v>5225</v>
      </c>
      <c r="M64" s="16">
        <v>1893</v>
      </c>
      <c r="N64" s="17">
        <f t="shared" si="6"/>
        <v>0.36229665071770334</v>
      </c>
      <c r="O64" s="16">
        <v>0</v>
      </c>
      <c r="P64" s="16">
        <v>0</v>
      </c>
      <c r="Q64" s="18">
        <f t="shared" si="8"/>
        <v>0</v>
      </c>
      <c r="R64" s="18">
        <f t="shared" si="9"/>
        <v>0</v>
      </c>
      <c r="S64" s="18">
        <f t="shared" si="7"/>
        <v>1</v>
      </c>
    </row>
    <row r="65" spans="1:19" x14ac:dyDescent="0.2">
      <c r="A65" s="14" t="s">
        <v>117</v>
      </c>
      <c r="B65" s="14" t="s">
        <v>83</v>
      </c>
      <c r="C65" s="14" t="s">
        <v>22</v>
      </c>
      <c r="D65" s="15">
        <v>1</v>
      </c>
      <c r="E65" s="15">
        <v>8</v>
      </c>
      <c r="F65" s="14" t="s">
        <v>26</v>
      </c>
      <c r="G65" s="15">
        <v>0</v>
      </c>
      <c r="H65" s="15">
        <v>0</v>
      </c>
      <c r="I65" s="14" t="s">
        <v>26</v>
      </c>
      <c r="J65" s="15">
        <v>0</v>
      </c>
      <c r="K65" s="15">
        <v>0</v>
      </c>
      <c r="L65" s="16">
        <v>3377</v>
      </c>
      <c r="M65" s="16">
        <v>529</v>
      </c>
      <c r="N65" s="17">
        <f t="shared" si="6"/>
        <v>0.15664791234823808</v>
      </c>
      <c r="O65" s="16">
        <v>0</v>
      </c>
      <c r="P65" s="16">
        <v>0</v>
      </c>
      <c r="Q65" s="18">
        <f t="shared" si="8"/>
        <v>0</v>
      </c>
      <c r="R65" s="18">
        <f t="shared" si="9"/>
        <v>0</v>
      </c>
      <c r="S65" s="18">
        <f t="shared" si="7"/>
        <v>1</v>
      </c>
    </row>
    <row r="66" spans="1:19" x14ac:dyDescent="0.2">
      <c r="A66" s="14" t="s">
        <v>118</v>
      </c>
      <c r="B66" s="14" t="s">
        <v>38</v>
      </c>
      <c r="C66" s="14" t="s">
        <v>22</v>
      </c>
      <c r="D66" s="15">
        <v>2</v>
      </c>
      <c r="E66" s="15">
        <v>15</v>
      </c>
      <c r="F66" s="14" t="s">
        <v>22</v>
      </c>
      <c r="G66" s="15">
        <v>12</v>
      </c>
      <c r="H66" s="15">
        <v>3</v>
      </c>
      <c r="I66" s="14" t="s">
        <v>22</v>
      </c>
      <c r="J66" s="15">
        <v>1</v>
      </c>
      <c r="K66" s="15">
        <v>1</v>
      </c>
      <c r="L66" s="16">
        <v>4958</v>
      </c>
      <c r="M66" s="16">
        <v>2126</v>
      </c>
      <c r="N66" s="17">
        <f t="shared" si="6"/>
        <v>0.42880193626462282</v>
      </c>
      <c r="O66" s="16">
        <v>218</v>
      </c>
      <c r="P66" s="16">
        <v>53</v>
      </c>
      <c r="Q66" s="18">
        <f t="shared" si="8"/>
        <v>0.10253998118532455</v>
      </c>
      <c r="R66" s="18">
        <f t="shared" si="9"/>
        <v>2.4929444967074318E-2</v>
      </c>
      <c r="S66" s="18">
        <f t="shared" si="7"/>
        <v>0.87253057384760113</v>
      </c>
    </row>
    <row r="67" spans="1:19" x14ac:dyDescent="0.2">
      <c r="A67" s="14" t="s">
        <v>119</v>
      </c>
      <c r="B67" s="14" t="s">
        <v>21</v>
      </c>
      <c r="C67" s="14" t="s">
        <v>22</v>
      </c>
      <c r="D67" s="15">
        <v>8</v>
      </c>
      <c r="E67" s="15">
        <v>19</v>
      </c>
      <c r="F67" s="14" t="s">
        <v>22</v>
      </c>
      <c r="G67" s="15">
        <v>33</v>
      </c>
      <c r="H67" s="15">
        <v>5</v>
      </c>
      <c r="I67" s="14" t="s">
        <v>23</v>
      </c>
      <c r="J67" s="15">
        <v>13</v>
      </c>
      <c r="K67" s="15">
        <v>3</v>
      </c>
      <c r="L67" s="16">
        <v>8639</v>
      </c>
      <c r="M67" s="16">
        <v>2579</v>
      </c>
      <c r="N67" s="17">
        <f t="shared" ref="N67:N98" si="10">M67/L67</f>
        <v>0.29852992244472742</v>
      </c>
      <c r="O67" s="16">
        <v>1253</v>
      </c>
      <c r="P67" s="16">
        <v>0</v>
      </c>
      <c r="Q67" s="18">
        <f t="shared" si="8"/>
        <v>0.48584722760759985</v>
      </c>
      <c r="R67" s="18">
        <f t="shared" si="9"/>
        <v>0</v>
      </c>
      <c r="S67" s="18">
        <f t="shared" ref="S67:S98" si="11">1-Q67-R67</f>
        <v>0.5141527723924002</v>
      </c>
    </row>
    <row r="68" spans="1:19" x14ac:dyDescent="0.2">
      <c r="A68" s="14" t="s">
        <v>120</v>
      </c>
      <c r="B68" s="14" t="s">
        <v>121</v>
      </c>
      <c r="C68" s="14" t="s">
        <v>22</v>
      </c>
      <c r="D68" s="15">
        <v>6</v>
      </c>
      <c r="E68" s="15">
        <v>30</v>
      </c>
      <c r="F68" s="14" t="s">
        <v>22</v>
      </c>
      <c r="G68" s="15">
        <v>5</v>
      </c>
      <c r="H68" s="15">
        <v>2</v>
      </c>
      <c r="I68" s="14" t="s">
        <v>22</v>
      </c>
      <c r="J68" s="15">
        <v>6</v>
      </c>
      <c r="K68" s="15">
        <v>1</v>
      </c>
      <c r="L68" s="16">
        <v>6131</v>
      </c>
      <c r="M68" s="16">
        <v>2434</v>
      </c>
      <c r="N68" s="17">
        <f t="shared" si="10"/>
        <v>0.39699885826129505</v>
      </c>
      <c r="O68" s="16">
        <v>0</v>
      </c>
      <c r="P68" s="16">
        <v>4</v>
      </c>
      <c r="Q68" s="18">
        <f t="shared" si="8"/>
        <v>0</v>
      </c>
      <c r="R68" s="18">
        <f t="shared" si="9"/>
        <v>1.6433853738701725E-3</v>
      </c>
      <c r="S68" s="18">
        <f t="shared" si="11"/>
        <v>0.99835661462612979</v>
      </c>
    </row>
    <row r="69" spans="1:19" x14ac:dyDescent="0.2">
      <c r="A69" s="14" t="s">
        <v>122</v>
      </c>
      <c r="B69" s="14" t="s">
        <v>53</v>
      </c>
      <c r="C69" s="14" t="s">
        <v>22</v>
      </c>
      <c r="D69" s="15">
        <v>1</v>
      </c>
      <c r="E69" s="15">
        <v>13</v>
      </c>
      <c r="F69" s="14" t="s">
        <v>22</v>
      </c>
      <c r="G69" s="15">
        <v>23</v>
      </c>
      <c r="H69" s="15">
        <v>4</v>
      </c>
      <c r="I69" s="14" t="s">
        <v>22</v>
      </c>
      <c r="J69" s="15">
        <v>8</v>
      </c>
      <c r="K69" s="15">
        <v>4</v>
      </c>
      <c r="L69" s="16">
        <v>12554</v>
      </c>
      <c r="M69" s="16">
        <v>5288</v>
      </c>
      <c r="N69" s="17">
        <f t="shared" si="10"/>
        <v>0.42122032818225269</v>
      </c>
      <c r="O69" s="16">
        <v>1557</v>
      </c>
      <c r="P69" s="16">
        <v>1481</v>
      </c>
      <c r="Q69" s="18">
        <f t="shared" si="8"/>
        <v>0.29444024205748864</v>
      </c>
      <c r="R69" s="18">
        <f t="shared" si="9"/>
        <v>0.28006807866868383</v>
      </c>
      <c r="S69" s="18">
        <f t="shared" si="11"/>
        <v>0.42549167927382753</v>
      </c>
    </row>
    <row r="70" spans="1:19" x14ac:dyDescent="0.2">
      <c r="A70" s="14" t="s">
        <v>123</v>
      </c>
      <c r="B70" s="14" t="s">
        <v>34</v>
      </c>
      <c r="C70" s="14" t="s">
        <v>22</v>
      </c>
      <c r="D70" s="15">
        <v>4</v>
      </c>
      <c r="E70" s="15">
        <v>10</v>
      </c>
      <c r="F70" s="14" t="s">
        <v>22</v>
      </c>
      <c r="G70" s="15">
        <v>16</v>
      </c>
      <c r="H70" s="15">
        <v>5</v>
      </c>
      <c r="I70" s="14" t="s">
        <v>22</v>
      </c>
      <c r="J70" s="15">
        <v>15</v>
      </c>
      <c r="K70" s="15">
        <v>4</v>
      </c>
      <c r="L70" s="16">
        <v>2128</v>
      </c>
      <c r="M70" s="16">
        <v>1237</v>
      </c>
      <c r="N70" s="17">
        <f t="shared" si="10"/>
        <v>0.58129699248120303</v>
      </c>
      <c r="O70" s="16">
        <v>107</v>
      </c>
      <c r="P70" s="16">
        <v>1018</v>
      </c>
      <c r="Q70" s="18">
        <f t="shared" si="8"/>
        <v>8.6499595796281331E-2</v>
      </c>
      <c r="R70" s="18">
        <f t="shared" si="9"/>
        <v>0.82295877122069527</v>
      </c>
      <c r="S70" s="18">
        <f t="shared" si="11"/>
        <v>9.0541632983023423E-2</v>
      </c>
    </row>
    <row r="71" spans="1:19" x14ac:dyDescent="0.2">
      <c r="A71" s="14" t="s">
        <v>124</v>
      </c>
      <c r="B71" s="14" t="s">
        <v>83</v>
      </c>
      <c r="C71" s="14" t="s">
        <v>22</v>
      </c>
      <c r="D71" s="15">
        <v>12</v>
      </c>
      <c r="E71" s="15">
        <v>19</v>
      </c>
      <c r="F71" s="14" t="s">
        <v>22</v>
      </c>
      <c r="G71" s="15">
        <v>2</v>
      </c>
      <c r="H71" s="15">
        <v>1</v>
      </c>
      <c r="I71" s="14" t="s">
        <v>22</v>
      </c>
      <c r="J71" s="15">
        <v>12</v>
      </c>
      <c r="K71" s="15">
        <v>1</v>
      </c>
      <c r="L71" s="16">
        <v>27658</v>
      </c>
      <c r="M71" s="16">
        <v>2912</v>
      </c>
      <c r="N71" s="17">
        <f t="shared" si="10"/>
        <v>0.10528599320269</v>
      </c>
      <c r="O71" s="16">
        <v>512</v>
      </c>
      <c r="P71" s="16">
        <v>0</v>
      </c>
      <c r="Q71" s="18">
        <f t="shared" si="8"/>
        <v>0.17582417582417584</v>
      </c>
      <c r="R71" s="18">
        <f t="shared" si="9"/>
        <v>0</v>
      </c>
      <c r="S71" s="18">
        <f t="shared" si="11"/>
        <v>0.82417582417582413</v>
      </c>
    </row>
  </sheetData>
  <mergeCells count="5">
    <mergeCell ref="A1:B1"/>
    <mergeCell ref="C1:E1"/>
    <mergeCell ref="F1:H1"/>
    <mergeCell ref="I1:K1"/>
    <mergeCell ref="L1:S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1"/>
  <sheetViews>
    <sheetView zoomScaleNormal="100" workbookViewId="0">
      <selection sqref="A1:XFD1048576"/>
    </sheetView>
  </sheetViews>
  <sheetFormatPr defaultColWidth="8.7109375" defaultRowHeight="12.75" x14ac:dyDescent="0.2"/>
  <cols>
    <col min="1" max="1" width="11.42578125" style="6" customWidth="1"/>
    <col min="2" max="2" width="4.42578125" style="6" customWidth="1"/>
    <col min="3" max="3" width="8.140625" style="6" customWidth="1"/>
    <col min="4" max="4" width="7.7109375" style="7" customWidth="1"/>
    <col min="5" max="5" width="5.7109375" style="7" customWidth="1"/>
    <col min="6" max="6" width="8.140625" style="6" customWidth="1"/>
    <col min="7" max="7" width="5.7109375" style="7" customWidth="1"/>
    <col min="8" max="8" width="6.7109375" style="7" customWidth="1"/>
    <col min="9" max="9" width="8.5703125" style="6" customWidth="1"/>
    <col min="10" max="10" width="5.7109375" style="7" customWidth="1"/>
    <col min="11" max="11" width="6.7109375" style="7" customWidth="1"/>
    <col min="12" max="12" width="6.42578125" style="8" customWidth="1"/>
    <col min="13" max="13" width="6.85546875" style="8" customWidth="1"/>
    <col min="14" max="14" width="6.42578125" style="9" customWidth="1"/>
    <col min="15" max="15" width="7.7109375" style="7" customWidth="1"/>
    <col min="16" max="16" width="5.85546875" style="7" customWidth="1"/>
    <col min="17" max="17" width="7.28515625" style="7" customWidth="1"/>
    <col min="18" max="18" width="7.5703125" style="7" customWidth="1"/>
    <col min="19" max="19" width="7.42578125" style="7" customWidth="1"/>
    <col min="20" max="16383" width="8.7109375" style="7"/>
    <col min="16384" max="16384" width="11.5703125" style="7" customWidth="1"/>
  </cols>
  <sheetData>
    <row r="1" spans="1:19" x14ac:dyDescent="0.2">
      <c r="A1" s="5" t="s">
        <v>0</v>
      </c>
      <c r="B1" s="5"/>
      <c r="C1" s="4" t="s">
        <v>1</v>
      </c>
      <c r="D1" s="4"/>
      <c r="E1" s="4"/>
      <c r="F1" s="3" t="s">
        <v>2</v>
      </c>
      <c r="G1" s="3"/>
      <c r="H1" s="3"/>
      <c r="I1" s="2" t="s">
        <v>3</v>
      </c>
      <c r="J1" s="2"/>
      <c r="K1" s="2"/>
      <c r="L1" s="1" t="s">
        <v>4</v>
      </c>
      <c r="M1" s="1"/>
      <c r="N1" s="1"/>
      <c r="O1" s="1"/>
      <c r="P1" s="1"/>
      <c r="Q1" s="1"/>
      <c r="R1" s="1"/>
      <c r="S1" s="1"/>
    </row>
    <row r="2" spans="1:19" x14ac:dyDescent="0.2">
      <c r="A2" s="10" t="s">
        <v>5</v>
      </c>
      <c r="B2" s="10" t="s">
        <v>6</v>
      </c>
      <c r="C2" s="10" t="s">
        <v>7</v>
      </c>
      <c r="D2" s="11" t="s">
        <v>8</v>
      </c>
      <c r="E2" s="11" t="s">
        <v>9</v>
      </c>
      <c r="F2" s="10" t="s">
        <v>7</v>
      </c>
      <c r="G2" s="11" t="s">
        <v>9</v>
      </c>
      <c r="H2" s="11" t="s">
        <v>10</v>
      </c>
      <c r="I2" s="10" t="s">
        <v>11</v>
      </c>
      <c r="J2" s="11" t="s">
        <v>9</v>
      </c>
      <c r="K2" s="11" t="s">
        <v>10</v>
      </c>
      <c r="L2" s="12" t="s">
        <v>12</v>
      </c>
      <c r="M2" s="12" t="s">
        <v>13</v>
      </c>
      <c r="N2" s="13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spans="1:19" x14ac:dyDescent="0.2">
      <c r="A3" s="14" t="s">
        <v>20</v>
      </c>
      <c r="B3" s="14" t="s">
        <v>21</v>
      </c>
      <c r="C3" s="14" t="s">
        <v>22</v>
      </c>
      <c r="D3" s="15">
        <v>3</v>
      </c>
      <c r="E3" s="15">
        <v>17</v>
      </c>
      <c r="F3" s="14" t="s">
        <v>22</v>
      </c>
      <c r="G3" s="15">
        <v>15</v>
      </c>
      <c r="H3" s="15">
        <v>3</v>
      </c>
      <c r="I3" s="14" t="s">
        <v>23</v>
      </c>
      <c r="J3" s="15">
        <v>6</v>
      </c>
      <c r="K3" s="15">
        <v>1</v>
      </c>
      <c r="L3" s="16">
        <v>7724</v>
      </c>
      <c r="M3" s="16">
        <v>1777</v>
      </c>
      <c r="N3" s="17">
        <f t="shared" ref="N3:N34" si="0">M3/L3</f>
        <v>0.23006214396685656</v>
      </c>
      <c r="O3" s="16">
        <v>221</v>
      </c>
      <c r="P3" s="16">
        <v>0</v>
      </c>
      <c r="Q3" s="18">
        <f t="shared" ref="Q3:Q11" si="1">O3/$M3</f>
        <v>0.12436691052335397</v>
      </c>
      <c r="R3" s="18">
        <f t="shared" ref="R3:R11" si="2">P3/$M3</f>
        <v>0</v>
      </c>
      <c r="S3" s="18">
        <f t="shared" ref="S3:S34" si="3">1-Q3-R3</f>
        <v>0.87563308947664598</v>
      </c>
    </row>
    <row r="4" spans="1:19" x14ac:dyDescent="0.2">
      <c r="A4" s="14" t="s">
        <v>24</v>
      </c>
      <c r="B4" s="14" t="s">
        <v>25</v>
      </c>
      <c r="C4" s="14" t="s">
        <v>22</v>
      </c>
      <c r="D4" s="15">
        <v>2</v>
      </c>
      <c r="E4" s="15">
        <v>8</v>
      </c>
      <c r="F4" s="14" t="s">
        <v>26</v>
      </c>
      <c r="G4" s="15">
        <v>0</v>
      </c>
      <c r="H4" s="15">
        <v>0</v>
      </c>
      <c r="I4" s="14" t="s">
        <v>26</v>
      </c>
      <c r="J4" s="15">
        <v>0</v>
      </c>
      <c r="K4" s="15">
        <v>0</v>
      </c>
      <c r="L4" s="16">
        <v>15412</v>
      </c>
      <c r="M4" s="16">
        <v>1006</v>
      </c>
      <c r="N4" s="17">
        <f t="shared" si="0"/>
        <v>6.527381261354788E-2</v>
      </c>
      <c r="O4" s="16">
        <v>0</v>
      </c>
      <c r="P4" s="16">
        <v>0</v>
      </c>
      <c r="Q4" s="18">
        <f t="shared" si="1"/>
        <v>0</v>
      </c>
      <c r="R4" s="18">
        <f t="shared" si="2"/>
        <v>0</v>
      </c>
      <c r="S4" s="18">
        <f t="shared" si="3"/>
        <v>1</v>
      </c>
    </row>
    <row r="5" spans="1:19" x14ac:dyDescent="0.2">
      <c r="A5" s="14" t="s">
        <v>27</v>
      </c>
      <c r="B5" s="14" t="s">
        <v>28</v>
      </c>
      <c r="C5" s="14" t="s">
        <v>22</v>
      </c>
      <c r="D5" s="15">
        <v>2</v>
      </c>
      <c r="E5" s="15">
        <v>25</v>
      </c>
      <c r="F5" s="14" t="s">
        <v>22</v>
      </c>
      <c r="G5" s="15">
        <v>8</v>
      </c>
      <c r="H5" s="15">
        <v>4</v>
      </c>
      <c r="I5" s="14" t="s">
        <v>23</v>
      </c>
      <c r="J5" s="15">
        <v>8</v>
      </c>
      <c r="K5" s="15">
        <v>2</v>
      </c>
      <c r="L5" s="16">
        <v>8524</v>
      </c>
      <c r="M5" s="16">
        <v>3719</v>
      </c>
      <c r="N5" s="17">
        <f t="shared" si="0"/>
        <v>0.43629751290473956</v>
      </c>
      <c r="O5" s="16">
        <v>315</v>
      </c>
      <c r="P5" s="16">
        <v>0</v>
      </c>
      <c r="Q5" s="18">
        <f t="shared" si="1"/>
        <v>8.4700188222640499E-2</v>
      </c>
      <c r="R5" s="18">
        <f t="shared" si="2"/>
        <v>0</v>
      </c>
      <c r="S5" s="18">
        <f t="shared" si="3"/>
        <v>0.91529981177735953</v>
      </c>
    </row>
    <row r="6" spans="1:19" x14ac:dyDescent="0.2">
      <c r="A6" s="14" t="s">
        <v>31</v>
      </c>
      <c r="B6" s="14" t="s">
        <v>32</v>
      </c>
      <c r="C6" s="14" t="s">
        <v>22</v>
      </c>
      <c r="D6" s="15">
        <v>6</v>
      </c>
      <c r="E6" s="15">
        <v>37</v>
      </c>
      <c r="F6" s="14" t="s">
        <v>22</v>
      </c>
      <c r="G6" s="15">
        <v>3</v>
      </c>
      <c r="H6" s="15">
        <v>6</v>
      </c>
      <c r="I6" s="14" t="s">
        <v>22</v>
      </c>
      <c r="J6" s="15">
        <v>7</v>
      </c>
      <c r="K6" s="15">
        <v>6</v>
      </c>
      <c r="L6" s="16">
        <v>21034</v>
      </c>
      <c r="M6" s="16">
        <v>7907</v>
      </c>
      <c r="N6" s="17">
        <f t="shared" si="0"/>
        <v>0.37591518493867071</v>
      </c>
      <c r="O6" s="16">
        <v>480</v>
      </c>
      <c r="P6" s="16">
        <v>0</v>
      </c>
      <c r="Q6" s="18">
        <f t="shared" si="1"/>
        <v>6.0705703806753511E-2</v>
      </c>
      <c r="R6" s="18">
        <f t="shared" si="2"/>
        <v>0</v>
      </c>
      <c r="S6" s="18">
        <f t="shared" si="3"/>
        <v>0.93929429619324645</v>
      </c>
    </row>
    <row r="7" spans="1:19" x14ac:dyDescent="0.2">
      <c r="A7" s="14" t="s">
        <v>33</v>
      </c>
      <c r="B7" s="14" t="s">
        <v>34</v>
      </c>
      <c r="C7" s="14" t="s">
        <v>22</v>
      </c>
      <c r="D7" s="15">
        <v>1</v>
      </c>
      <c r="E7" s="15">
        <v>2</v>
      </c>
      <c r="F7" s="14" t="s">
        <v>26</v>
      </c>
      <c r="G7" s="15">
        <v>0</v>
      </c>
      <c r="H7" s="15">
        <v>0</v>
      </c>
      <c r="I7" s="14" t="s">
        <v>26</v>
      </c>
      <c r="J7" s="15">
        <v>0</v>
      </c>
      <c r="K7" s="15">
        <v>0</v>
      </c>
      <c r="L7" s="16">
        <v>2679</v>
      </c>
      <c r="M7" s="16">
        <v>817</v>
      </c>
      <c r="N7" s="17">
        <f t="shared" si="0"/>
        <v>0.30496453900709219</v>
      </c>
      <c r="O7" s="16">
        <v>0</v>
      </c>
      <c r="P7" s="16">
        <v>0</v>
      </c>
      <c r="Q7" s="18">
        <f t="shared" si="1"/>
        <v>0</v>
      </c>
      <c r="R7" s="18">
        <f t="shared" si="2"/>
        <v>0</v>
      </c>
      <c r="S7" s="18">
        <f t="shared" si="3"/>
        <v>1</v>
      </c>
    </row>
    <row r="8" spans="1:19" x14ac:dyDescent="0.2">
      <c r="A8" s="14" t="s">
        <v>35</v>
      </c>
      <c r="B8" s="14" t="s">
        <v>36</v>
      </c>
      <c r="C8" s="14" t="s">
        <v>22</v>
      </c>
      <c r="D8" s="15">
        <v>1</v>
      </c>
      <c r="E8" s="15">
        <v>22</v>
      </c>
      <c r="F8" s="14" t="s">
        <v>22</v>
      </c>
      <c r="G8" s="15">
        <v>28</v>
      </c>
      <c r="H8" s="15">
        <v>5</v>
      </c>
      <c r="I8" s="14" t="s">
        <v>23</v>
      </c>
      <c r="J8" s="15">
        <v>13</v>
      </c>
      <c r="K8" s="15">
        <v>3</v>
      </c>
      <c r="L8" s="16">
        <v>29457</v>
      </c>
      <c r="M8" s="16">
        <v>3214</v>
      </c>
      <c r="N8" s="17">
        <f t="shared" si="0"/>
        <v>0.10910819160131717</v>
      </c>
      <c r="O8" s="16">
        <v>1015</v>
      </c>
      <c r="P8" s="16">
        <v>0</v>
      </c>
      <c r="Q8" s="18">
        <f t="shared" si="1"/>
        <v>0.31580584940883633</v>
      </c>
      <c r="R8" s="18">
        <f t="shared" si="2"/>
        <v>0</v>
      </c>
      <c r="S8" s="18">
        <f t="shared" si="3"/>
        <v>0.68419415059116373</v>
      </c>
    </row>
    <row r="9" spans="1:19" x14ac:dyDescent="0.2">
      <c r="A9" s="14" t="s">
        <v>37</v>
      </c>
      <c r="B9" s="14" t="s">
        <v>38</v>
      </c>
      <c r="C9" s="14" t="s">
        <v>22</v>
      </c>
      <c r="D9" s="15">
        <v>2</v>
      </c>
      <c r="E9" s="15">
        <v>29</v>
      </c>
      <c r="F9" s="14" t="s">
        <v>22</v>
      </c>
      <c r="G9" s="15">
        <v>17</v>
      </c>
      <c r="H9" s="15">
        <v>7</v>
      </c>
      <c r="I9" s="14" t="s">
        <v>39</v>
      </c>
      <c r="J9" s="15">
        <v>13</v>
      </c>
      <c r="K9" s="15">
        <v>6</v>
      </c>
      <c r="L9" s="16">
        <v>27780</v>
      </c>
      <c r="M9" s="16">
        <v>5327</v>
      </c>
      <c r="N9" s="17">
        <f t="shared" si="0"/>
        <v>0.19175665946724263</v>
      </c>
      <c r="O9" s="16">
        <v>363</v>
      </c>
      <c r="P9" s="16">
        <v>0</v>
      </c>
      <c r="Q9" s="18">
        <f t="shared" si="1"/>
        <v>6.8143420311620045E-2</v>
      </c>
      <c r="R9" s="18">
        <f t="shared" si="2"/>
        <v>0</v>
      </c>
      <c r="S9" s="18">
        <f t="shared" si="3"/>
        <v>0.93185657968837998</v>
      </c>
    </row>
    <row r="10" spans="1:19" x14ac:dyDescent="0.2">
      <c r="A10" s="14" t="s">
        <v>40</v>
      </c>
      <c r="B10" s="14" t="s">
        <v>38</v>
      </c>
      <c r="C10" s="14" t="s">
        <v>22</v>
      </c>
      <c r="D10" s="15">
        <v>2</v>
      </c>
      <c r="E10" s="15">
        <v>9</v>
      </c>
      <c r="F10" s="14" t="s">
        <v>22</v>
      </c>
      <c r="G10" s="15">
        <v>10</v>
      </c>
      <c r="H10" s="15">
        <v>2</v>
      </c>
      <c r="I10" s="14" t="s">
        <v>23</v>
      </c>
      <c r="J10" s="15">
        <v>9</v>
      </c>
      <c r="K10" s="15">
        <v>2</v>
      </c>
      <c r="L10" s="16">
        <v>4450</v>
      </c>
      <c r="M10" s="16">
        <v>832</v>
      </c>
      <c r="N10" s="17">
        <f t="shared" si="0"/>
        <v>0.18696629213483146</v>
      </c>
      <c r="O10" s="16">
        <v>180</v>
      </c>
      <c r="P10" s="16">
        <v>0</v>
      </c>
      <c r="Q10" s="18">
        <f t="shared" si="1"/>
        <v>0.21634615384615385</v>
      </c>
      <c r="R10" s="18">
        <f t="shared" si="2"/>
        <v>0</v>
      </c>
      <c r="S10" s="18">
        <f t="shared" si="3"/>
        <v>0.78365384615384615</v>
      </c>
    </row>
    <row r="11" spans="1:19" x14ac:dyDescent="0.2">
      <c r="A11" s="14" t="s">
        <v>43</v>
      </c>
      <c r="B11" s="14" t="s">
        <v>44</v>
      </c>
      <c r="C11" s="14" t="s">
        <v>22</v>
      </c>
      <c r="D11" s="15">
        <v>5</v>
      </c>
      <c r="E11" s="15">
        <v>29</v>
      </c>
      <c r="F11" s="14" t="s">
        <v>26</v>
      </c>
      <c r="G11" s="15">
        <v>0</v>
      </c>
      <c r="H11" s="15">
        <v>0</v>
      </c>
      <c r="I11" s="14" t="s">
        <v>26</v>
      </c>
      <c r="J11" s="15">
        <v>0</v>
      </c>
      <c r="K11" s="15">
        <v>0</v>
      </c>
      <c r="L11" s="16">
        <v>14135</v>
      </c>
      <c r="M11" s="16">
        <v>4239</v>
      </c>
      <c r="N11" s="17">
        <f t="shared" si="0"/>
        <v>0.29989388043862752</v>
      </c>
      <c r="O11" s="16">
        <v>0</v>
      </c>
      <c r="P11" s="16">
        <v>0</v>
      </c>
      <c r="Q11" s="18">
        <f t="shared" si="1"/>
        <v>0</v>
      </c>
      <c r="R11" s="18">
        <f t="shared" si="2"/>
        <v>0</v>
      </c>
      <c r="S11" s="18">
        <f t="shared" si="3"/>
        <v>1</v>
      </c>
    </row>
    <row r="12" spans="1:19" x14ac:dyDescent="0.2">
      <c r="A12" s="14" t="s">
        <v>45</v>
      </c>
      <c r="B12" s="14" t="s">
        <v>21</v>
      </c>
      <c r="C12" s="14" t="s">
        <v>26</v>
      </c>
      <c r="D12" s="15">
        <v>0</v>
      </c>
      <c r="E12" s="15">
        <v>0</v>
      </c>
      <c r="F12" s="14" t="s">
        <v>26</v>
      </c>
      <c r="G12" s="15">
        <v>0</v>
      </c>
      <c r="H12" s="15">
        <v>0</v>
      </c>
      <c r="I12" s="14" t="s">
        <v>26</v>
      </c>
      <c r="J12" s="15">
        <v>0</v>
      </c>
      <c r="K12" s="15">
        <v>0</v>
      </c>
      <c r="L12" s="16">
        <v>2889</v>
      </c>
      <c r="M12" s="16">
        <v>0</v>
      </c>
      <c r="N12" s="17">
        <f t="shared" si="0"/>
        <v>0</v>
      </c>
      <c r="O12" s="16">
        <v>0</v>
      </c>
      <c r="P12" s="16">
        <v>0</v>
      </c>
      <c r="Q12" s="18">
        <v>0</v>
      </c>
      <c r="R12" s="18">
        <v>0</v>
      </c>
      <c r="S12" s="18">
        <f t="shared" si="3"/>
        <v>1</v>
      </c>
    </row>
    <row r="13" spans="1:19" x14ac:dyDescent="0.2">
      <c r="A13" s="14" t="s">
        <v>46</v>
      </c>
      <c r="B13" s="14" t="s">
        <v>47</v>
      </c>
      <c r="C13" s="14" t="s">
        <v>22</v>
      </c>
      <c r="D13" s="15">
        <v>1</v>
      </c>
      <c r="E13" s="15">
        <v>5</v>
      </c>
      <c r="F13" s="14" t="s">
        <v>26</v>
      </c>
      <c r="G13" s="15">
        <v>0</v>
      </c>
      <c r="H13" s="15">
        <v>0</v>
      </c>
      <c r="I13" s="14" t="s">
        <v>26</v>
      </c>
      <c r="J13" s="15">
        <v>0</v>
      </c>
      <c r="K13" s="15">
        <v>0</v>
      </c>
      <c r="L13" s="16">
        <v>3995</v>
      </c>
      <c r="M13" s="16">
        <v>1002</v>
      </c>
      <c r="N13" s="17">
        <f t="shared" si="0"/>
        <v>0.25081351689612014</v>
      </c>
      <c r="O13" s="16">
        <v>0</v>
      </c>
      <c r="P13" s="16">
        <v>0</v>
      </c>
      <c r="Q13" s="18">
        <f t="shared" ref="Q13:Q44" si="4">O13/$M13</f>
        <v>0</v>
      </c>
      <c r="R13" s="18">
        <f t="shared" ref="R13:R44" si="5">P13/$M13</f>
        <v>0</v>
      </c>
      <c r="S13" s="18">
        <f t="shared" si="3"/>
        <v>1</v>
      </c>
    </row>
    <row r="14" spans="1:19" x14ac:dyDescent="0.2">
      <c r="A14" s="14" t="s">
        <v>54</v>
      </c>
      <c r="B14" s="14" t="s">
        <v>55</v>
      </c>
      <c r="C14" s="14" t="s">
        <v>22</v>
      </c>
      <c r="D14" s="15">
        <v>5</v>
      </c>
      <c r="E14" s="15">
        <v>31</v>
      </c>
      <c r="F14" s="14" t="s">
        <v>26</v>
      </c>
      <c r="G14" s="15">
        <v>0</v>
      </c>
      <c r="H14" s="15">
        <v>0</v>
      </c>
      <c r="I14" s="14" t="s">
        <v>26</v>
      </c>
      <c r="J14" s="15">
        <v>0</v>
      </c>
      <c r="K14" s="15">
        <v>0</v>
      </c>
      <c r="L14" s="16">
        <v>6038</v>
      </c>
      <c r="M14" s="16">
        <v>2239</v>
      </c>
      <c r="N14" s="17">
        <f t="shared" si="0"/>
        <v>0.37081815170586285</v>
      </c>
      <c r="O14" s="16">
        <v>0</v>
      </c>
      <c r="P14" s="16">
        <v>0</v>
      </c>
      <c r="Q14" s="18">
        <f t="shared" si="4"/>
        <v>0</v>
      </c>
      <c r="R14" s="18">
        <f t="shared" si="5"/>
        <v>0</v>
      </c>
      <c r="S14" s="18">
        <f t="shared" si="3"/>
        <v>1</v>
      </c>
    </row>
    <row r="15" spans="1:19" x14ac:dyDescent="0.2">
      <c r="A15" s="14" t="s">
        <v>57</v>
      </c>
      <c r="B15" s="14" t="s">
        <v>58</v>
      </c>
      <c r="C15" s="14" t="s">
        <v>22</v>
      </c>
      <c r="D15" s="15">
        <v>1</v>
      </c>
      <c r="E15" s="15">
        <v>14</v>
      </c>
      <c r="F15" s="14" t="s">
        <v>22</v>
      </c>
      <c r="G15" s="15">
        <v>11</v>
      </c>
      <c r="H15" s="15">
        <v>4</v>
      </c>
      <c r="I15" s="14" t="s">
        <v>59</v>
      </c>
      <c r="J15" s="15">
        <v>10</v>
      </c>
      <c r="K15" s="15">
        <v>3</v>
      </c>
      <c r="L15" s="16">
        <v>6076</v>
      </c>
      <c r="M15" s="16">
        <v>1590</v>
      </c>
      <c r="N15" s="17">
        <f t="shared" si="0"/>
        <v>0.2616853192890059</v>
      </c>
      <c r="O15" s="16">
        <v>251</v>
      </c>
      <c r="P15" s="16">
        <v>0</v>
      </c>
      <c r="Q15" s="18">
        <f t="shared" si="4"/>
        <v>0.15786163522012578</v>
      </c>
      <c r="R15" s="18">
        <f t="shared" si="5"/>
        <v>0</v>
      </c>
      <c r="S15" s="18">
        <f t="shared" si="3"/>
        <v>0.84213836477987425</v>
      </c>
    </row>
    <row r="16" spans="1:19" x14ac:dyDescent="0.2">
      <c r="A16" s="14" t="s">
        <v>60</v>
      </c>
      <c r="B16" s="14" t="s">
        <v>42</v>
      </c>
      <c r="C16" s="14" t="s">
        <v>22</v>
      </c>
      <c r="D16" s="15">
        <v>1</v>
      </c>
      <c r="E16" s="15">
        <v>10</v>
      </c>
      <c r="F16" s="14" t="s">
        <v>26</v>
      </c>
      <c r="G16" s="15">
        <v>0</v>
      </c>
      <c r="H16" s="15">
        <v>0</v>
      </c>
      <c r="I16" s="14" t="s">
        <v>26</v>
      </c>
      <c r="J16" s="15">
        <v>0</v>
      </c>
      <c r="K16" s="15">
        <v>0</v>
      </c>
      <c r="L16" s="16">
        <v>3045</v>
      </c>
      <c r="M16" s="16">
        <v>558</v>
      </c>
      <c r="N16" s="17">
        <f t="shared" si="0"/>
        <v>0.18325123152709361</v>
      </c>
      <c r="O16" s="16">
        <v>0</v>
      </c>
      <c r="P16" s="16">
        <v>0</v>
      </c>
      <c r="Q16" s="18">
        <f t="shared" si="4"/>
        <v>0</v>
      </c>
      <c r="R16" s="18">
        <f t="shared" si="5"/>
        <v>0</v>
      </c>
      <c r="S16" s="18">
        <f t="shared" si="3"/>
        <v>1</v>
      </c>
    </row>
    <row r="17" spans="1:19" x14ac:dyDescent="0.2">
      <c r="A17" s="14" t="s">
        <v>66</v>
      </c>
      <c r="B17" s="14" t="s">
        <v>62</v>
      </c>
      <c r="C17" s="14" t="s">
        <v>22</v>
      </c>
      <c r="D17" s="15">
        <v>1</v>
      </c>
      <c r="E17" s="15">
        <v>20</v>
      </c>
      <c r="F17" s="14" t="s">
        <v>22</v>
      </c>
      <c r="G17" s="15">
        <v>3</v>
      </c>
      <c r="H17" s="15">
        <v>2</v>
      </c>
      <c r="I17" s="14" t="s">
        <v>67</v>
      </c>
      <c r="J17" s="15">
        <v>1</v>
      </c>
      <c r="K17" s="15">
        <v>2</v>
      </c>
      <c r="L17" s="16">
        <v>33909</v>
      </c>
      <c r="M17" s="16">
        <v>4901</v>
      </c>
      <c r="N17" s="17">
        <f t="shared" si="0"/>
        <v>0.14453389955469048</v>
      </c>
      <c r="O17" s="16">
        <v>16</v>
      </c>
      <c r="P17" s="16">
        <v>0</v>
      </c>
      <c r="Q17" s="18">
        <f t="shared" si="4"/>
        <v>3.2646398694144052E-3</v>
      </c>
      <c r="R17" s="18">
        <f t="shared" si="5"/>
        <v>0</v>
      </c>
      <c r="S17" s="18">
        <f t="shared" si="3"/>
        <v>0.99673536013058561</v>
      </c>
    </row>
    <row r="18" spans="1:19" x14ac:dyDescent="0.2">
      <c r="A18" s="14" t="s">
        <v>68</v>
      </c>
      <c r="B18" s="14" t="s">
        <v>58</v>
      </c>
      <c r="C18" s="14" t="s">
        <v>22</v>
      </c>
      <c r="D18" s="15">
        <v>9</v>
      </c>
      <c r="E18" s="15">
        <v>50</v>
      </c>
      <c r="F18" s="14" t="s">
        <v>22</v>
      </c>
      <c r="G18" s="15">
        <v>15</v>
      </c>
      <c r="H18" s="15">
        <v>3</v>
      </c>
      <c r="I18" s="14" t="s">
        <v>23</v>
      </c>
      <c r="J18" s="15">
        <v>15</v>
      </c>
      <c r="K18" s="15">
        <v>3</v>
      </c>
      <c r="L18" s="16">
        <v>26636</v>
      </c>
      <c r="M18" s="16">
        <v>6916</v>
      </c>
      <c r="N18" s="17">
        <f t="shared" si="0"/>
        <v>0.25964859588526806</v>
      </c>
      <c r="O18" s="16">
        <v>1748</v>
      </c>
      <c r="P18" s="16">
        <v>0</v>
      </c>
      <c r="Q18" s="18">
        <f t="shared" si="4"/>
        <v>0.25274725274725274</v>
      </c>
      <c r="R18" s="18">
        <f t="shared" si="5"/>
        <v>0</v>
      </c>
      <c r="S18" s="18">
        <f t="shared" si="3"/>
        <v>0.74725274725274726</v>
      </c>
    </row>
    <row r="19" spans="1:19" x14ac:dyDescent="0.2">
      <c r="A19" s="14" t="s">
        <v>71</v>
      </c>
      <c r="B19" s="14" t="s">
        <v>72</v>
      </c>
      <c r="C19" s="14" t="s">
        <v>22</v>
      </c>
      <c r="D19" s="15">
        <v>2</v>
      </c>
      <c r="E19" s="15">
        <v>12</v>
      </c>
      <c r="F19" s="14" t="s">
        <v>26</v>
      </c>
      <c r="G19" s="15">
        <v>0</v>
      </c>
      <c r="H19" s="15">
        <v>0</v>
      </c>
      <c r="I19" s="14" t="s">
        <v>26</v>
      </c>
      <c r="J19" s="15">
        <v>0</v>
      </c>
      <c r="K19" s="15">
        <v>0</v>
      </c>
      <c r="L19" s="16">
        <v>3432</v>
      </c>
      <c r="M19" s="16">
        <v>1917</v>
      </c>
      <c r="N19" s="17">
        <f t="shared" si="0"/>
        <v>0.55856643356643354</v>
      </c>
      <c r="O19" s="16">
        <v>0</v>
      </c>
      <c r="P19" s="16">
        <v>0</v>
      </c>
      <c r="Q19" s="18">
        <f t="shared" si="4"/>
        <v>0</v>
      </c>
      <c r="R19" s="18">
        <f t="shared" si="5"/>
        <v>0</v>
      </c>
      <c r="S19" s="18">
        <f t="shared" si="3"/>
        <v>1</v>
      </c>
    </row>
    <row r="20" spans="1:19" x14ac:dyDescent="0.2">
      <c r="A20" s="14" t="s">
        <v>73</v>
      </c>
      <c r="B20" s="14" t="s">
        <v>36</v>
      </c>
      <c r="C20" s="14" t="s">
        <v>22</v>
      </c>
      <c r="D20" s="15">
        <v>2</v>
      </c>
      <c r="E20" s="15">
        <v>7</v>
      </c>
      <c r="F20" s="14" t="s">
        <v>26</v>
      </c>
      <c r="G20" s="15">
        <v>0</v>
      </c>
      <c r="H20" s="15">
        <v>0</v>
      </c>
      <c r="I20" s="14" t="s">
        <v>26</v>
      </c>
      <c r="J20" s="15">
        <v>0</v>
      </c>
      <c r="K20" s="15">
        <v>0</v>
      </c>
      <c r="L20" s="16">
        <v>3154</v>
      </c>
      <c r="M20" s="16">
        <v>311</v>
      </c>
      <c r="N20" s="17">
        <f t="shared" si="0"/>
        <v>9.860494610019023E-2</v>
      </c>
      <c r="O20" s="16">
        <v>0</v>
      </c>
      <c r="P20" s="16">
        <v>0</v>
      </c>
      <c r="Q20" s="18">
        <f t="shared" si="4"/>
        <v>0</v>
      </c>
      <c r="R20" s="18">
        <f t="shared" si="5"/>
        <v>0</v>
      </c>
      <c r="S20" s="18">
        <f t="shared" si="3"/>
        <v>1</v>
      </c>
    </row>
    <row r="21" spans="1:19" x14ac:dyDescent="0.2">
      <c r="A21" s="14" t="s">
        <v>75</v>
      </c>
      <c r="B21" s="14" t="s">
        <v>76</v>
      </c>
      <c r="C21" s="14" t="s">
        <v>22</v>
      </c>
      <c r="D21" s="15">
        <v>2</v>
      </c>
      <c r="E21" s="15">
        <v>14</v>
      </c>
      <c r="F21" s="14" t="s">
        <v>26</v>
      </c>
      <c r="G21" s="15">
        <v>0</v>
      </c>
      <c r="H21" s="15">
        <v>0</v>
      </c>
      <c r="I21" s="14" t="s">
        <v>26</v>
      </c>
      <c r="J21" s="15">
        <v>0</v>
      </c>
      <c r="K21" s="15">
        <v>0</v>
      </c>
      <c r="L21" s="16">
        <v>6459</v>
      </c>
      <c r="M21" s="16">
        <v>1777</v>
      </c>
      <c r="N21" s="17">
        <f t="shared" si="0"/>
        <v>0.27511998761418177</v>
      </c>
      <c r="O21" s="16">
        <v>0</v>
      </c>
      <c r="P21" s="16">
        <v>0</v>
      </c>
      <c r="Q21" s="18">
        <f t="shared" si="4"/>
        <v>0</v>
      </c>
      <c r="R21" s="18">
        <f t="shared" si="5"/>
        <v>0</v>
      </c>
      <c r="S21" s="18">
        <f t="shared" si="3"/>
        <v>1</v>
      </c>
    </row>
    <row r="22" spans="1:19" x14ac:dyDescent="0.2">
      <c r="A22" s="14" t="s">
        <v>77</v>
      </c>
      <c r="B22" s="14" t="s">
        <v>76</v>
      </c>
      <c r="C22" s="14" t="s">
        <v>22</v>
      </c>
      <c r="D22" s="15">
        <v>11</v>
      </c>
      <c r="E22" s="15">
        <v>71</v>
      </c>
      <c r="F22" s="14" t="s">
        <v>22</v>
      </c>
      <c r="G22" s="15">
        <v>1</v>
      </c>
      <c r="H22" s="15">
        <v>6</v>
      </c>
      <c r="I22" s="14" t="s">
        <v>22</v>
      </c>
      <c r="J22" s="15">
        <v>20</v>
      </c>
      <c r="K22" s="15">
        <v>6</v>
      </c>
      <c r="L22" s="16">
        <v>36068</v>
      </c>
      <c r="M22" s="16">
        <v>15981</v>
      </c>
      <c r="N22" s="17">
        <f t="shared" si="0"/>
        <v>0.44307973827215258</v>
      </c>
      <c r="O22" s="16">
        <v>1613</v>
      </c>
      <c r="P22" s="16">
        <v>0</v>
      </c>
      <c r="Q22" s="18">
        <f t="shared" si="4"/>
        <v>0.1009323571741443</v>
      </c>
      <c r="R22" s="18">
        <f t="shared" si="5"/>
        <v>0</v>
      </c>
      <c r="S22" s="18">
        <f t="shared" si="3"/>
        <v>0.89906764282585572</v>
      </c>
    </row>
    <row r="23" spans="1:19" x14ac:dyDescent="0.2">
      <c r="A23" s="14" t="s">
        <v>78</v>
      </c>
      <c r="B23" s="14" t="s">
        <v>44</v>
      </c>
      <c r="C23" s="14" t="s">
        <v>22</v>
      </c>
      <c r="D23" s="15">
        <v>5</v>
      </c>
      <c r="E23" s="15">
        <v>30</v>
      </c>
      <c r="F23" s="14" t="s">
        <v>22</v>
      </c>
      <c r="G23" s="15">
        <v>24</v>
      </c>
      <c r="H23" s="15">
        <v>9</v>
      </c>
      <c r="I23" s="14" t="s">
        <v>23</v>
      </c>
      <c r="J23" s="15">
        <v>13</v>
      </c>
      <c r="K23" s="15">
        <v>7</v>
      </c>
      <c r="L23" s="16">
        <v>27958</v>
      </c>
      <c r="M23" s="16">
        <v>7339</v>
      </c>
      <c r="N23" s="17">
        <f t="shared" si="0"/>
        <v>0.26250089419844053</v>
      </c>
      <c r="O23" s="16">
        <v>564</v>
      </c>
      <c r="P23" s="16">
        <v>0</v>
      </c>
      <c r="Q23" s="18">
        <f t="shared" si="4"/>
        <v>7.6849707044556473E-2</v>
      </c>
      <c r="R23" s="18">
        <f t="shared" si="5"/>
        <v>0</v>
      </c>
      <c r="S23" s="18">
        <f t="shared" si="3"/>
        <v>0.92315029295544349</v>
      </c>
    </row>
    <row r="24" spans="1:19" x14ac:dyDescent="0.2">
      <c r="A24" s="14" t="s">
        <v>79</v>
      </c>
      <c r="B24" s="14" t="s">
        <v>34</v>
      </c>
      <c r="C24" s="14" t="s">
        <v>22</v>
      </c>
      <c r="D24" s="15">
        <v>3</v>
      </c>
      <c r="E24" s="15">
        <v>27</v>
      </c>
      <c r="F24" s="14" t="s">
        <v>22</v>
      </c>
      <c r="G24" s="15">
        <v>16</v>
      </c>
      <c r="H24" s="15">
        <v>7</v>
      </c>
      <c r="I24" s="14" t="s">
        <v>23</v>
      </c>
      <c r="J24" s="15">
        <v>21</v>
      </c>
      <c r="K24" s="15">
        <v>7</v>
      </c>
      <c r="L24" s="16">
        <v>31142</v>
      </c>
      <c r="M24" s="16">
        <v>7904</v>
      </c>
      <c r="N24" s="17">
        <f t="shared" si="0"/>
        <v>0.25380515060047526</v>
      </c>
      <c r="O24" s="16">
        <v>775</v>
      </c>
      <c r="P24" s="16">
        <v>0</v>
      </c>
      <c r="Q24" s="18">
        <f t="shared" si="4"/>
        <v>9.8051619433198386E-2</v>
      </c>
      <c r="R24" s="18">
        <f t="shared" si="5"/>
        <v>0</v>
      </c>
      <c r="S24" s="18">
        <f t="shared" si="3"/>
        <v>0.9019483805668016</v>
      </c>
    </row>
    <row r="25" spans="1:19" x14ac:dyDescent="0.2">
      <c r="A25" s="14" t="s">
        <v>81</v>
      </c>
      <c r="B25" s="14" t="s">
        <v>47</v>
      </c>
      <c r="C25" s="14" t="s">
        <v>22</v>
      </c>
      <c r="D25" s="15">
        <v>4</v>
      </c>
      <c r="E25" s="15">
        <v>36</v>
      </c>
      <c r="F25" s="14" t="s">
        <v>22</v>
      </c>
      <c r="G25" s="15">
        <v>46</v>
      </c>
      <c r="H25" s="15">
        <v>12</v>
      </c>
      <c r="I25" s="14" t="s">
        <v>23</v>
      </c>
      <c r="J25" s="15">
        <v>32</v>
      </c>
      <c r="K25" s="15">
        <v>7</v>
      </c>
      <c r="L25" s="16">
        <v>20031</v>
      </c>
      <c r="M25" s="16">
        <v>8772</v>
      </c>
      <c r="N25" s="17">
        <f t="shared" si="0"/>
        <v>0.43792122210573609</v>
      </c>
      <c r="O25" s="16">
        <v>1271</v>
      </c>
      <c r="P25" s="16">
        <v>0</v>
      </c>
      <c r="Q25" s="18">
        <f t="shared" si="4"/>
        <v>0.14489284085727314</v>
      </c>
      <c r="R25" s="18">
        <f t="shared" si="5"/>
        <v>0</v>
      </c>
      <c r="S25" s="18">
        <f t="shared" si="3"/>
        <v>0.85510715914272684</v>
      </c>
    </row>
    <row r="26" spans="1:19" x14ac:dyDescent="0.2">
      <c r="A26" s="14" t="s">
        <v>84</v>
      </c>
      <c r="B26" s="14" t="s">
        <v>70</v>
      </c>
      <c r="C26" s="14" t="s">
        <v>22</v>
      </c>
      <c r="D26" s="15">
        <v>1</v>
      </c>
      <c r="E26" s="15">
        <v>9</v>
      </c>
      <c r="F26" s="14" t="s">
        <v>26</v>
      </c>
      <c r="G26" s="15">
        <v>0</v>
      </c>
      <c r="H26" s="15">
        <v>0</v>
      </c>
      <c r="I26" s="14" t="s">
        <v>26</v>
      </c>
      <c r="J26" s="15">
        <v>0</v>
      </c>
      <c r="K26" s="15">
        <v>0</v>
      </c>
      <c r="L26" s="16">
        <v>3729</v>
      </c>
      <c r="M26" s="16">
        <v>822</v>
      </c>
      <c r="N26" s="17">
        <f t="shared" si="0"/>
        <v>0.22043443282381336</v>
      </c>
      <c r="O26" s="16">
        <v>0</v>
      </c>
      <c r="P26" s="16">
        <v>0</v>
      </c>
      <c r="Q26" s="18">
        <f t="shared" si="4"/>
        <v>0</v>
      </c>
      <c r="R26" s="18">
        <f t="shared" si="5"/>
        <v>0</v>
      </c>
      <c r="S26" s="18">
        <f t="shared" si="3"/>
        <v>1</v>
      </c>
    </row>
    <row r="27" spans="1:19" x14ac:dyDescent="0.2">
      <c r="A27" s="14" t="s">
        <v>85</v>
      </c>
      <c r="B27" s="14" t="s">
        <v>76</v>
      </c>
      <c r="C27" s="14" t="s">
        <v>22</v>
      </c>
      <c r="D27" s="15">
        <v>4</v>
      </c>
      <c r="E27" s="15">
        <v>9</v>
      </c>
      <c r="F27" s="14" t="s">
        <v>22</v>
      </c>
      <c r="G27" s="15">
        <v>1</v>
      </c>
      <c r="H27" s="15">
        <v>1</v>
      </c>
      <c r="I27" s="14" t="s">
        <v>22</v>
      </c>
      <c r="J27" s="15">
        <v>10</v>
      </c>
      <c r="K27" s="15">
        <v>1</v>
      </c>
      <c r="L27" s="16">
        <v>9133</v>
      </c>
      <c r="M27" s="16">
        <v>1738</v>
      </c>
      <c r="N27" s="17">
        <f t="shared" si="0"/>
        <v>0.19029891601883281</v>
      </c>
      <c r="O27" s="16">
        <v>381</v>
      </c>
      <c r="P27" s="16">
        <v>0</v>
      </c>
      <c r="Q27" s="18">
        <f t="shared" si="4"/>
        <v>0.21921749136939012</v>
      </c>
      <c r="R27" s="18">
        <f t="shared" si="5"/>
        <v>0</v>
      </c>
      <c r="S27" s="18">
        <f t="shared" si="3"/>
        <v>0.78078250863060994</v>
      </c>
    </row>
    <row r="28" spans="1:19" x14ac:dyDescent="0.2">
      <c r="A28" s="14" t="s">
        <v>86</v>
      </c>
      <c r="B28" s="14" t="s">
        <v>36</v>
      </c>
      <c r="C28" s="14" t="s">
        <v>22</v>
      </c>
      <c r="D28" s="15">
        <v>5</v>
      </c>
      <c r="E28" s="15">
        <v>18</v>
      </c>
      <c r="F28" s="14" t="s">
        <v>22</v>
      </c>
      <c r="G28" s="15">
        <v>12</v>
      </c>
      <c r="H28" s="15">
        <v>3</v>
      </c>
      <c r="I28" s="14" t="s">
        <v>23</v>
      </c>
      <c r="J28" s="15">
        <v>13</v>
      </c>
      <c r="K28" s="15">
        <v>3</v>
      </c>
      <c r="L28" s="16">
        <v>8513</v>
      </c>
      <c r="M28" s="16">
        <v>2828</v>
      </c>
      <c r="N28" s="17">
        <f t="shared" si="0"/>
        <v>0.33219781510630803</v>
      </c>
      <c r="O28" s="16">
        <v>381</v>
      </c>
      <c r="P28" s="16">
        <v>0</v>
      </c>
      <c r="Q28" s="18">
        <f t="shared" si="4"/>
        <v>0.13472418670438471</v>
      </c>
      <c r="R28" s="18">
        <f t="shared" si="5"/>
        <v>0</v>
      </c>
      <c r="S28" s="18">
        <f t="shared" si="3"/>
        <v>0.86527581329561531</v>
      </c>
    </row>
    <row r="29" spans="1:19" x14ac:dyDescent="0.2">
      <c r="A29" s="14" t="s">
        <v>87</v>
      </c>
      <c r="B29" s="14" t="s">
        <v>21</v>
      </c>
      <c r="C29" s="14" t="s">
        <v>22</v>
      </c>
      <c r="D29" s="15">
        <v>2</v>
      </c>
      <c r="E29" s="15">
        <v>18</v>
      </c>
      <c r="F29" s="14" t="s">
        <v>22</v>
      </c>
      <c r="G29" s="15">
        <v>15</v>
      </c>
      <c r="H29" s="15">
        <v>7</v>
      </c>
      <c r="I29" s="14" t="s">
        <v>23</v>
      </c>
      <c r="J29" s="15">
        <v>10</v>
      </c>
      <c r="K29" s="15">
        <v>2</v>
      </c>
      <c r="L29" s="16">
        <v>27917</v>
      </c>
      <c r="M29" s="16">
        <v>3974</v>
      </c>
      <c r="N29" s="17">
        <f t="shared" si="0"/>
        <v>0.14235053909804063</v>
      </c>
      <c r="O29" s="16">
        <v>218</v>
      </c>
      <c r="P29" s="16">
        <v>0</v>
      </c>
      <c r="Q29" s="18">
        <f t="shared" si="4"/>
        <v>5.4856567689984904E-2</v>
      </c>
      <c r="R29" s="18">
        <f t="shared" si="5"/>
        <v>0</v>
      </c>
      <c r="S29" s="18">
        <f t="shared" si="3"/>
        <v>0.94514343231001507</v>
      </c>
    </row>
    <row r="30" spans="1:19" x14ac:dyDescent="0.2">
      <c r="A30" s="14" t="s">
        <v>96</v>
      </c>
      <c r="B30" s="14" t="s">
        <v>36</v>
      </c>
      <c r="C30" s="14" t="s">
        <v>22</v>
      </c>
      <c r="D30" s="15">
        <v>3</v>
      </c>
      <c r="E30" s="15">
        <v>16</v>
      </c>
      <c r="F30" s="14" t="s">
        <v>26</v>
      </c>
      <c r="G30" s="15">
        <v>0</v>
      </c>
      <c r="H30" s="15">
        <v>0</v>
      </c>
      <c r="I30" s="14" t="s">
        <v>26</v>
      </c>
      <c r="J30" s="15">
        <v>0</v>
      </c>
      <c r="K30" s="15">
        <v>0</v>
      </c>
      <c r="L30" s="16">
        <v>3966</v>
      </c>
      <c r="M30" s="16">
        <v>1239</v>
      </c>
      <c r="N30" s="17">
        <f t="shared" si="0"/>
        <v>0.3124054462934947</v>
      </c>
      <c r="O30" s="16">
        <v>0</v>
      </c>
      <c r="P30" s="16">
        <v>0</v>
      </c>
      <c r="Q30" s="18">
        <f t="shared" si="4"/>
        <v>0</v>
      </c>
      <c r="R30" s="18">
        <f t="shared" si="5"/>
        <v>0</v>
      </c>
      <c r="S30" s="18">
        <f t="shared" si="3"/>
        <v>1</v>
      </c>
    </row>
    <row r="31" spans="1:19" x14ac:dyDescent="0.2">
      <c r="A31" s="14" t="s">
        <v>101</v>
      </c>
      <c r="B31" s="14" t="s">
        <v>72</v>
      </c>
      <c r="C31" s="14" t="s">
        <v>22</v>
      </c>
      <c r="D31" s="15">
        <v>5</v>
      </c>
      <c r="E31" s="15">
        <v>18</v>
      </c>
      <c r="F31" s="14" t="s">
        <v>22</v>
      </c>
      <c r="G31" s="15">
        <v>18</v>
      </c>
      <c r="H31" s="15">
        <v>6</v>
      </c>
      <c r="I31" s="14" t="s">
        <v>23</v>
      </c>
      <c r="J31" s="15">
        <v>5</v>
      </c>
      <c r="K31" s="15">
        <v>1</v>
      </c>
      <c r="L31" s="16">
        <v>10104</v>
      </c>
      <c r="M31" s="16">
        <v>3530</v>
      </c>
      <c r="N31" s="17">
        <f t="shared" si="0"/>
        <v>0.34936658749010291</v>
      </c>
      <c r="O31" s="16">
        <v>1134</v>
      </c>
      <c r="P31" s="16">
        <v>0</v>
      </c>
      <c r="Q31" s="18">
        <f t="shared" si="4"/>
        <v>0.32124645892351272</v>
      </c>
      <c r="R31" s="18">
        <f t="shared" si="5"/>
        <v>0</v>
      </c>
      <c r="S31" s="18">
        <f t="shared" si="3"/>
        <v>0.67875354107648733</v>
      </c>
    </row>
    <row r="32" spans="1:19" x14ac:dyDescent="0.2">
      <c r="A32" s="14" t="s">
        <v>103</v>
      </c>
      <c r="B32" s="14" t="s">
        <v>62</v>
      </c>
      <c r="C32" s="14" t="s">
        <v>22</v>
      </c>
      <c r="D32" s="15">
        <v>2</v>
      </c>
      <c r="E32" s="15">
        <v>26</v>
      </c>
      <c r="F32" s="14" t="s">
        <v>22</v>
      </c>
      <c r="G32" s="15">
        <v>14</v>
      </c>
      <c r="H32" s="15">
        <v>3</v>
      </c>
      <c r="I32" s="14" t="s">
        <v>59</v>
      </c>
      <c r="J32" s="15">
        <v>17</v>
      </c>
      <c r="K32" s="15">
        <v>3</v>
      </c>
      <c r="L32" s="16">
        <v>21716</v>
      </c>
      <c r="M32" s="16">
        <v>2359</v>
      </c>
      <c r="N32" s="17">
        <f t="shared" si="0"/>
        <v>0.10862958187511512</v>
      </c>
      <c r="O32" s="16">
        <v>117</v>
      </c>
      <c r="P32" s="16">
        <v>0</v>
      </c>
      <c r="Q32" s="18">
        <f t="shared" si="4"/>
        <v>4.959728698601102E-2</v>
      </c>
      <c r="R32" s="18">
        <f t="shared" si="5"/>
        <v>0</v>
      </c>
      <c r="S32" s="18">
        <f t="shared" si="3"/>
        <v>0.95040271301398893</v>
      </c>
    </row>
    <row r="33" spans="1:19" x14ac:dyDescent="0.2">
      <c r="A33" s="14" t="s">
        <v>104</v>
      </c>
      <c r="B33" s="14" t="s">
        <v>62</v>
      </c>
      <c r="C33" s="14" t="s">
        <v>22</v>
      </c>
      <c r="D33" s="15">
        <v>2</v>
      </c>
      <c r="E33" s="15">
        <v>21</v>
      </c>
      <c r="F33" s="14" t="s">
        <v>105</v>
      </c>
      <c r="G33" s="15">
        <v>5</v>
      </c>
      <c r="H33" s="15">
        <v>2</v>
      </c>
      <c r="I33" s="14" t="s">
        <v>26</v>
      </c>
      <c r="J33" s="15">
        <v>0</v>
      </c>
      <c r="K33" s="15">
        <v>0</v>
      </c>
      <c r="L33" s="16">
        <v>13257</v>
      </c>
      <c r="M33" s="16">
        <v>2321</v>
      </c>
      <c r="N33" s="17">
        <f t="shared" si="0"/>
        <v>0.17507731764350909</v>
      </c>
      <c r="O33" s="16">
        <v>0</v>
      </c>
      <c r="P33" s="16">
        <v>0</v>
      </c>
      <c r="Q33" s="18">
        <f t="shared" si="4"/>
        <v>0</v>
      </c>
      <c r="R33" s="18">
        <f t="shared" si="5"/>
        <v>0</v>
      </c>
      <c r="S33" s="18">
        <f t="shared" si="3"/>
        <v>1</v>
      </c>
    </row>
    <row r="34" spans="1:19" x14ac:dyDescent="0.2">
      <c r="A34" s="14" t="s">
        <v>107</v>
      </c>
      <c r="B34" s="14" t="s">
        <v>108</v>
      </c>
      <c r="C34" s="14" t="s">
        <v>22</v>
      </c>
      <c r="D34" s="15">
        <v>1</v>
      </c>
      <c r="E34" s="15">
        <v>33</v>
      </c>
      <c r="F34" s="14" t="s">
        <v>22</v>
      </c>
      <c r="G34" s="15">
        <v>27</v>
      </c>
      <c r="H34" s="15">
        <v>8</v>
      </c>
      <c r="I34" s="14" t="s">
        <v>23</v>
      </c>
      <c r="J34" s="15">
        <v>24</v>
      </c>
      <c r="K34" s="15">
        <v>5</v>
      </c>
      <c r="L34" s="16">
        <v>39509</v>
      </c>
      <c r="M34" s="16">
        <v>8115</v>
      </c>
      <c r="N34" s="17">
        <f t="shared" si="0"/>
        <v>0.20539623883165861</v>
      </c>
      <c r="O34" s="16">
        <v>986</v>
      </c>
      <c r="P34" s="16">
        <v>0</v>
      </c>
      <c r="Q34" s="18">
        <f t="shared" si="4"/>
        <v>0.1215033887861984</v>
      </c>
      <c r="R34" s="18">
        <f t="shared" si="5"/>
        <v>0</v>
      </c>
      <c r="S34" s="18">
        <f t="shared" si="3"/>
        <v>0.87849661121380163</v>
      </c>
    </row>
    <row r="35" spans="1:19" x14ac:dyDescent="0.2">
      <c r="A35" s="14" t="s">
        <v>109</v>
      </c>
      <c r="B35" s="14" t="s">
        <v>62</v>
      </c>
      <c r="C35" s="14" t="s">
        <v>22</v>
      </c>
      <c r="D35" s="15">
        <v>1</v>
      </c>
      <c r="E35" s="15">
        <v>12</v>
      </c>
      <c r="F35" s="14" t="s">
        <v>110</v>
      </c>
      <c r="G35" s="15">
        <v>4</v>
      </c>
      <c r="H35" s="15">
        <v>3</v>
      </c>
      <c r="I35" s="14" t="s">
        <v>111</v>
      </c>
      <c r="J35" s="15">
        <v>6</v>
      </c>
      <c r="K35" s="15">
        <v>2</v>
      </c>
      <c r="L35" s="16">
        <v>6044</v>
      </c>
      <c r="M35" s="16">
        <v>878</v>
      </c>
      <c r="N35" s="17">
        <f t="shared" ref="N35:N66" si="6">M35/L35</f>
        <v>0.14526803441429517</v>
      </c>
      <c r="O35" s="16">
        <v>0</v>
      </c>
      <c r="P35" s="16">
        <v>0</v>
      </c>
      <c r="Q35" s="18">
        <f t="shared" si="4"/>
        <v>0</v>
      </c>
      <c r="R35" s="18">
        <f t="shared" si="5"/>
        <v>0</v>
      </c>
      <c r="S35" s="18">
        <f t="shared" ref="S35:S66" si="7">1-Q35-R35</f>
        <v>1</v>
      </c>
    </row>
    <row r="36" spans="1:19" x14ac:dyDescent="0.2">
      <c r="A36" s="14" t="s">
        <v>112</v>
      </c>
      <c r="B36" s="14" t="s">
        <v>113</v>
      </c>
      <c r="C36" s="14" t="s">
        <v>22</v>
      </c>
      <c r="D36" s="15">
        <v>4</v>
      </c>
      <c r="E36" s="15">
        <v>24</v>
      </c>
      <c r="F36" s="14" t="s">
        <v>22</v>
      </c>
      <c r="G36" s="15">
        <v>4</v>
      </c>
      <c r="H36" s="15">
        <v>5</v>
      </c>
      <c r="I36" s="14" t="s">
        <v>23</v>
      </c>
      <c r="J36" s="15">
        <v>4</v>
      </c>
      <c r="K36" s="15">
        <v>5</v>
      </c>
      <c r="L36" s="16">
        <v>10894</v>
      </c>
      <c r="M36" s="16">
        <v>5805</v>
      </c>
      <c r="N36" s="17">
        <f t="shared" si="6"/>
        <v>0.53286212594088489</v>
      </c>
      <c r="O36" s="16">
        <v>1091</v>
      </c>
      <c r="P36" s="16">
        <v>0</v>
      </c>
      <c r="Q36" s="18">
        <f t="shared" si="4"/>
        <v>0.1879414298018949</v>
      </c>
      <c r="R36" s="18">
        <f t="shared" si="5"/>
        <v>0</v>
      </c>
      <c r="S36" s="18">
        <f t="shared" si="7"/>
        <v>0.81205857019810512</v>
      </c>
    </row>
    <row r="37" spans="1:19" x14ac:dyDescent="0.2">
      <c r="A37" s="14" t="s">
        <v>114</v>
      </c>
      <c r="B37" s="14" t="s">
        <v>62</v>
      </c>
      <c r="C37" s="14" t="s">
        <v>22</v>
      </c>
      <c r="D37" s="15">
        <v>1</v>
      </c>
      <c r="E37" s="15">
        <v>4</v>
      </c>
      <c r="F37" s="14" t="s">
        <v>22</v>
      </c>
      <c r="G37" s="15">
        <v>8</v>
      </c>
      <c r="H37" s="15">
        <v>1</v>
      </c>
      <c r="I37" s="14" t="s">
        <v>110</v>
      </c>
      <c r="J37" s="15">
        <v>5</v>
      </c>
      <c r="K37" s="15">
        <v>1</v>
      </c>
      <c r="L37" s="16">
        <v>6582</v>
      </c>
      <c r="M37" s="16">
        <v>343</v>
      </c>
      <c r="N37" s="17">
        <f t="shared" si="6"/>
        <v>5.2111820115466424E-2</v>
      </c>
      <c r="O37" s="16">
        <v>53</v>
      </c>
      <c r="P37" s="16">
        <v>0</v>
      </c>
      <c r="Q37" s="18">
        <f t="shared" si="4"/>
        <v>0.15451895043731778</v>
      </c>
      <c r="R37" s="18">
        <f t="shared" si="5"/>
        <v>0</v>
      </c>
      <c r="S37" s="18">
        <f t="shared" si="7"/>
        <v>0.84548104956268222</v>
      </c>
    </row>
    <row r="38" spans="1:19" x14ac:dyDescent="0.2">
      <c r="A38" s="14" t="s">
        <v>115</v>
      </c>
      <c r="B38" s="14" t="s">
        <v>25</v>
      </c>
      <c r="C38" s="14" t="s">
        <v>22</v>
      </c>
      <c r="D38" s="15">
        <v>4</v>
      </c>
      <c r="E38" s="15">
        <v>11</v>
      </c>
      <c r="F38" s="14" t="s">
        <v>26</v>
      </c>
      <c r="G38" s="15">
        <v>0</v>
      </c>
      <c r="H38" s="15">
        <v>0</v>
      </c>
      <c r="I38" s="14" t="s">
        <v>26</v>
      </c>
      <c r="J38" s="15">
        <v>0</v>
      </c>
      <c r="K38" s="15">
        <v>0</v>
      </c>
      <c r="L38" s="16">
        <v>12151</v>
      </c>
      <c r="M38" s="16">
        <v>1986</v>
      </c>
      <c r="N38" s="17">
        <f t="shared" si="6"/>
        <v>0.16344333799687269</v>
      </c>
      <c r="O38" s="16">
        <v>0</v>
      </c>
      <c r="P38" s="16">
        <v>0</v>
      </c>
      <c r="Q38" s="18">
        <f t="shared" si="4"/>
        <v>0</v>
      </c>
      <c r="R38" s="18">
        <f t="shared" si="5"/>
        <v>0</v>
      </c>
      <c r="S38" s="18">
        <f t="shared" si="7"/>
        <v>1</v>
      </c>
    </row>
    <row r="39" spans="1:19" x14ac:dyDescent="0.2">
      <c r="A39" s="14" t="s">
        <v>116</v>
      </c>
      <c r="B39" s="14" t="s">
        <v>76</v>
      </c>
      <c r="C39" s="14" t="s">
        <v>22</v>
      </c>
      <c r="D39" s="15">
        <v>4</v>
      </c>
      <c r="E39" s="15">
        <v>18</v>
      </c>
      <c r="F39" s="14" t="s">
        <v>26</v>
      </c>
      <c r="G39" s="15">
        <v>0</v>
      </c>
      <c r="H39" s="15">
        <v>0</v>
      </c>
      <c r="I39" s="14" t="s">
        <v>26</v>
      </c>
      <c r="J39" s="15">
        <v>0</v>
      </c>
      <c r="K39" s="15">
        <v>0</v>
      </c>
      <c r="L39" s="16">
        <v>5225</v>
      </c>
      <c r="M39" s="16">
        <v>1893</v>
      </c>
      <c r="N39" s="17">
        <f t="shared" si="6"/>
        <v>0.36229665071770334</v>
      </c>
      <c r="O39" s="16">
        <v>0</v>
      </c>
      <c r="P39" s="16">
        <v>0</v>
      </c>
      <c r="Q39" s="18">
        <f t="shared" si="4"/>
        <v>0</v>
      </c>
      <c r="R39" s="18">
        <f t="shared" si="5"/>
        <v>0</v>
      </c>
      <c r="S39" s="18">
        <f t="shared" si="7"/>
        <v>1</v>
      </c>
    </row>
    <row r="40" spans="1:19" x14ac:dyDescent="0.2">
      <c r="A40" s="14" t="s">
        <v>117</v>
      </c>
      <c r="B40" s="14" t="s">
        <v>83</v>
      </c>
      <c r="C40" s="14" t="s">
        <v>22</v>
      </c>
      <c r="D40" s="15">
        <v>1</v>
      </c>
      <c r="E40" s="15">
        <v>8</v>
      </c>
      <c r="F40" s="14" t="s">
        <v>26</v>
      </c>
      <c r="G40" s="15">
        <v>0</v>
      </c>
      <c r="H40" s="15">
        <v>0</v>
      </c>
      <c r="I40" s="14" t="s">
        <v>26</v>
      </c>
      <c r="J40" s="15">
        <v>0</v>
      </c>
      <c r="K40" s="15">
        <v>0</v>
      </c>
      <c r="L40" s="16">
        <v>3377</v>
      </c>
      <c r="M40" s="16">
        <v>529</v>
      </c>
      <c r="N40" s="17">
        <f t="shared" si="6"/>
        <v>0.15664791234823808</v>
      </c>
      <c r="O40" s="16">
        <v>0</v>
      </c>
      <c r="P40" s="16">
        <v>0</v>
      </c>
      <c r="Q40" s="18">
        <f t="shared" si="4"/>
        <v>0</v>
      </c>
      <c r="R40" s="18">
        <f t="shared" si="5"/>
        <v>0</v>
      </c>
      <c r="S40" s="18">
        <f t="shared" si="7"/>
        <v>1</v>
      </c>
    </row>
    <row r="41" spans="1:19" x14ac:dyDescent="0.2">
      <c r="A41" s="14" t="s">
        <v>119</v>
      </c>
      <c r="B41" s="14" t="s">
        <v>21</v>
      </c>
      <c r="C41" s="14" t="s">
        <v>22</v>
      </c>
      <c r="D41" s="15">
        <v>8</v>
      </c>
      <c r="E41" s="15">
        <v>19</v>
      </c>
      <c r="F41" s="14" t="s">
        <v>22</v>
      </c>
      <c r="G41" s="15">
        <v>33</v>
      </c>
      <c r="H41" s="15">
        <v>5</v>
      </c>
      <c r="I41" s="14" t="s">
        <v>23</v>
      </c>
      <c r="J41" s="15">
        <v>13</v>
      </c>
      <c r="K41" s="15">
        <v>3</v>
      </c>
      <c r="L41" s="16">
        <v>8639</v>
      </c>
      <c r="M41" s="16">
        <v>2579</v>
      </c>
      <c r="N41" s="17">
        <f t="shared" si="6"/>
        <v>0.29852992244472742</v>
      </c>
      <c r="O41" s="16">
        <v>1253</v>
      </c>
      <c r="P41" s="16">
        <v>0</v>
      </c>
      <c r="Q41" s="18">
        <f t="shared" si="4"/>
        <v>0.48584722760759985</v>
      </c>
      <c r="R41" s="18">
        <f t="shared" si="5"/>
        <v>0</v>
      </c>
      <c r="S41" s="18">
        <f t="shared" si="7"/>
        <v>0.5141527723924002</v>
      </c>
    </row>
    <row r="42" spans="1:19" x14ac:dyDescent="0.2">
      <c r="A42" s="14" t="s">
        <v>124</v>
      </c>
      <c r="B42" s="14" t="s">
        <v>83</v>
      </c>
      <c r="C42" s="14" t="s">
        <v>22</v>
      </c>
      <c r="D42" s="15">
        <v>12</v>
      </c>
      <c r="E42" s="15">
        <v>19</v>
      </c>
      <c r="F42" s="14" t="s">
        <v>22</v>
      </c>
      <c r="G42" s="15">
        <v>2</v>
      </c>
      <c r="H42" s="15">
        <v>1</v>
      </c>
      <c r="I42" s="14" t="s">
        <v>22</v>
      </c>
      <c r="J42" s="15">
        <v>12</v>
      </c>
      <c r="K42" s="15">
        <v>1</v>
      </c>
      <c r="L42" s="16">
        <v>27658</v>
      </c>
      <c r="M42" s="16">
        <v>2912</v>
      </c>
      <c r="N42" s="17">
        <f t="shared" si="6"/>
        <v>0.10528599320269</v>
      </c>
      <c r="O42" s="16">
        <v>512</v>
      </c>
      <c r="P42" s="16">
        <v>0</v>
      </c>
      <c r="Q42" s="18">
        <f t="shared" si="4"/>
        <v>0.17582417582417584</v>
      </c>
      <c r="R42" s="18">
        <f t="shared" si="5"/>
        <v>0</v>
      </c>
      <c r="S42" s="18">
        <f t="shared" si="7"/>
        <v>0.82417582417582413</v>
      </c>
    </row>
    <row r="43" spans="1:19" x14ac:dyDescent="0.2">
      <c r="A43" s="14" t="s">
        <v>120</v>
      </c>
      <c r="B43" s="14" t="s">
        <v>121</v>
      </c>
      <c r="C43" s="14" t="s">
        <v>22</v>
      </c>
      <c r="D43" s="15">
        <v>6</v>
      </c>
      <c r="E43" s="15">
        <v>30</v>
      </c>
      <c r="F43" s="14" t="s">
        <v>22</v>
      </c>
      <c r="G43" s="15">
        <v>5</v>
      </c>
      <c r="H43" s="15">
        <v>2</v>
      </c>
      <c r="I43" s="14" t="s">
        <v>22</v>
      </c>
      <c r="J43" s="15">
        <v>6</v>
      </c>
      <c r="K43" s="15">
        <v>1</v>
      </c>
      <c r="L43" s="16">
        <v>6131</v>
      </c>
      <c r="M43" s="16">
        <v>2434</v>
      </c>
      <c r="N43" s="17">
        <f t="shared" si="6"/>
        <v>0.39699885826129505</v>
      </c>
      <c r="O43" s="16">
        <v>0</v>
      </c>
      <c r="P43" s="16">
        <v>4</v>
      </c>
      <c r="Q43" s="18">
        <f t="shared" si="4"/>
        <v>0</v>
      </c>
      <c r="R43" s="18">
        <f t="shared" si="5"/>
        <v>1.6433853738701725E-3</v>
      </c>
      <c r="S43" s="18">
        <f t="shared" si="7"/>
        <v>0.99835661462612979</v>
      </c>
    </row>
    <row r="44" spans="1:19" x14ac:dyDescent="0.2">
      <c r="A44" s="14" t="s">
        <v>56</v>
      </c>
      <c r="B44" s="14" t="s">
        <v>42</v>
      </c>
      <c r="C44" s="14" t="s">
        <v>22</v>
      </c>
      <c r="D44" s="15">
        <v>2</v>
      </c>
      <c r="E44" s="15">
        <v>28</v>
      </c>
      <c r="F44" s="14" t="s">
        <v>22</v>
      </c>
      <c r="G44" s="15">
        <v>6</v>
      </c>
      <c r="H44" s="15">
        <v>3</v>
      </c>
      <c r="I44" s="14" t="s">
        <v>22</v>
      </c>
      <c r="J44" s="15">
        <v>5</v>
      </c>
      <c r="K44" s="15">
        <v>1</v>
      </c>
      <c r="L44" s="16">
        <v>17877</v>
      </c>
      <c r="M44" s="16">
        <v>3610</v>
      </c>
      <c r="N44" s="17">
        <f t="shared" si="6"/>
        <v>0.20193544778206635</v>
      </c>
      <c r="O44" s="16">
        <v>13</v>
      </c>
      <c r="P44" s="16">
        <v>50</v>
      </c>
      <c r="Q44" s="18">
        <f t="shared" si="4"/>
        <v>3.6011080332409972E-3</v>
      </c>
      <c r="R44" s="18">
        <f t="shared" si="5"/>
        <v>1.3850415512465374E-2</v>
      </c>
      <c r="S44" s="18">
        <f t="shared" si="7"/>
        <v>0.98254847645429366</v>
      </c>
    </row>
    <row r="45" spans="1:19" x14ac:dyDescent="0.2">
      <c r="A45" s="14" t="s">
        <v>118</v>
      </c>
      <c r="B45" s="14" t="s">
        <v>38</v>
      </c>
      <c r="C45" s="14" t="s">
        <v>22</v>
      </c>
      <c r="D45" s="15">
        <v>2</v>
      </c>
      <c r="E45" s="15">
        <v>15</v>
      </c>
      <c r="F45" s="14" t="s">
        <v>22</v>
      </c>
      <c r="G45" s="15">
        <v>12</v>
      </c>
      <c r="H45" s="15">
        <v>3</v>
      </c>
      <c r="I45" s="14" t="s">
        <v>22</v>
      </c>
      <c r="J45" s="15">
        <v>1</v>
      </c>
      <c r="K45" s="15">
        <v>1</v>
      </c>
      <c r="L45" s="16">
        <v>4958</v>
      </c>
      <c r="M45" s="16">
        <v>2126</v>
      </c>
      <c r="N45" s="17">
        <f t="shared" si="6"/>
        <v>0.42880193626462282</v>
      </c>
      <c r="O45" s="16">
        <v>218</v>
      </c>
      <c r="P45" s="16">
        <v>53</v>
      </c>
      <c r="Q45" s="18">
        <f t="shared" ref="Q45:Q71" si="8">O45/$M45</f>
        <v>0.10253998118532455</v>
      </c>
      <c r="R45" s="18">
        <f t="shared" ref="R45:R71" si="9">P45/$M45</f>
        <v>2.4929444967074318E-2</v>
      </c>
      <c r="S45" s="18">
        <f t="shared" si="7"/>
        <v>0.87253057384760113</v>
      </c>
    </row>
    <row r="46" spans="1:19" x14ac:dyDescent="0.2">
      <c r="A46" s="14" t="s">
        <v>41</v>
      </c>
      <c r="B46" s="14" t="s">
        <v>42</v>
      </c>
      <c r="C46" s="14" t="s">
        <v>22</v>
      </c>
      <c r="D46" s="15">
        <v>1</v>
      </c>
      <c r="E46" s="15">
        <v>13</v>
      </c>
      <c r="F46" s="14" t="s">
        <v>22</v>
      </c>
      <c r="G46" s="15">
        <v>10</v>
      </c>
      <c r="H46" s="15">
        <v>1</v>
      </c>
      <c r="I46" s="14" t="s">
        <v>22</v>
      </c>
      <c r="J46" s="15">
        <v>6</v>
      </c>
      <c r="K46" s="15">
        <v>1</v>
      </c>
      <c r="L46" s="16">
        <v>2907</v>
      </c>
      <c r="M46" s="16">
        <v>1077</v>
      </c>
      <c r="N46" s="17">
        <f t="shared" si="6"/>
        <v>0.37048503611971106</v>
      </c>
      <c r="O46" s="16">
        <v>33</v>
      </c>
      <c r="P46" s="16">
        <v>64</v>
      </c>
      <c r="Q46" s="18">
        <f t="shared" si="8"/>
        <v>3.0640668523676879E-2</v>
      </c>
      <c r="R46" s="18">
        <f t="shared" si="9"/>
        <v>5.9424326833797586E-2</v>
      </c>
      <c r="S46" s="18">
        <f t="shared" si="7"/>
        <v>0.90993500464252552</v>
      </c>
    </row>
    <row r="47" spans="1:19" x14ac:dyDescent="0.2">
      <c r="A47" s="14" t="s">
        <v>29</v>
      </c>
      <c r="B47" s="14" t="s">
        <v>30</v>
      </c>
      <c r="C47" s="14" t="s">
        <v>22</v>
      </c>
      <c r="D47" s="15">
        <v>4</v>
      </c>
      <c r="E47" s="15">
        <v>33</v>
      </c>
      <c r="F47" s="14" t="s">
        <v>22</v>
      </c>
      <c r="G47" s="15">
        <v>10</v>
      </c>
      <c r="H47" s="15">
        <v>6</v>
      </c>
      <c r="I47" s="14" t="s">
        <v>22</v>
      </c>
      <c r="J47" s="15">
        <v>11</v>
      </c>
      <c r="K47" s="15">
        <v>3</v>
      </c>
      <c r="L47" s="16">
        <v>23894</v>
      </c>
      <c r="M47" s="16">
        <v>8158</v>
      </c>
      <c r="N47" s="17">
        <f t="shared" si="6"/>
        <v>0.341424625428978</v>
      </c>
      <c r="O47" s="16">
        <v>166</v>
      </c>
      <c r="P47" s="16">
        <v>504</v>
      </c>
      <c r="Q47" s="18">
        <f t="shared" si="8"/>
        <v>2.0348124540328513E-2</v>
      </c>
      <c r="R47" s="18">
        <f t="shared" si="9"/>
        <v>6.1779848001961263E-2</v>
      </c>
      <c r="S47" s="18">
        <f t="shared" si="7"/>
        <v>0.91787202745771024</v>
      </c>
    </row>
    <row r="48" spans="1:19" x14ac:dyDescent="0.2">
      <c r="A48" s="14" t="s">
        <v>93</v>
      </c>
      <c r="B48" s="14" t="s">
        <v>53</v>
      </c>
      <c r="C48" s="14" t="s">
        <v>22</v>
      </c>
      <c r="D48" s="15">
        <v>2</v>
      </c>
      <c r="E48" s="15">
        <v>21</v>
      </c>
      <c r="F48" s="14" t="s">
        <v>22</v>
      </c>
      <c r="G48" s="15">
        <v>10</v>
      </c>
      <c r="H48" s="15">
        <v>2</v>
      </c>
      <c r="I48" s="14" t="s">
        <v>22</v>
      </c>
      <c r="J48" s="15">
        <v>5</v>
      </c>
      <c r="K48" s="15">
        <v>1</v>
      </c>
      <c r="L48" s="16">
        <v>19708</v>
      </c>
      <c r="M48" s="16">
        <v>5463</v>
      </c>
      <c r="N48" s="17">
        <f t="shared" si="6"/>
        <v>0.27719707732900345</v>
      </c>
      <c r="O48" s="16">
        <v>376</v>
      </c>
      <c r="P48" s="16">
        <v>522</v>
      </c>
      <c r="Q48" s="18">
        <f t="shared" si="8"/>
        <v>6.8826652022698151E-2</v>
      </c>
      <c r="R48" s="18">
        <f t="shared" si="9"/>
        <v>9.5551894563426693E-2</v>
      </c>
      <c r="S48" s="18">
        <f t="shared" si="7"/>
        <v>0.83562145341387517</v>
      </c>
    </row>
    <row r="49" spans="1:19" x14ac:dyDescent="0.2">
      <c r="A49" s="14" t="s">
        <v>91</v>
      </c>
      <c r="B49" s="14" t="s">
        <v>92</v>
      </c>
      <c r="C49" s="14" t="s">
        <v>22</v>
      </c>
      <c r="D49" s="15">
        <v>1</v>
      </c>
      <c r="E49" s="15">
        <v>20</v>
      </c>
      <c r="F49" s="14" t="s">
        <v>22</v>
      </c>
      <c r="G49" s="15">
        <v>9</v>
      </c>
      <c r="H49" s="15">
        <v>3</v>
      </c>
      <c r="I49" s="14" t="s">
        <v>22</v>
      </c>
      <c r="J49" s="15">
        <v>6</v>
      </c>
      <c r="K49" s="15">
        <v>1</v>
      </c>
      <c r="L49" s="16">
        <v>4797</v>
      </c>
      <c r="M49" s="16">
        <v>1587</v>
      </c>
      <c r="N49" s="17">
        <f t="shared" si="6"/>
        <v>0.33083176985616009</v>
      </c>
      <c r="O49" s="16">
        <v>128</v>
      </c>
      <c r="P49" s="16">
        <v>157</v>
      </c>
      <c r="Q49" s="18">
        <f t="shared" si="8"/>
        <v>8.0655324511657217E-2</v>
      </c>
      <c r="R49" s="18">
        <f t="shared" si="9"/>
        <v>9.8928796471329558E-2</v>
      </c>
      <c r="S49" s="18">
        <f t="shared" si="7"/>
        <v>0.82041587901701318</v>
      </c>
    </row>
    <row r="50" spans="1:19" x14ac:dyDescent="0.2">
      <c r="A50" s="14" t="s">
        <v>63</v>
      </c>
      <c r="B50" s="14" t="s">
        <v>62</v>
      </c>
      <c r="C50" s="14" t="s">
        <v>22</v>
      </c>
      <c r="D50" s="15">
        <v>1</v>
      </c>
      <c r="E50" s="15">
        <v>9</v>
      </c>
      <c r="F50" s="14" t="s">
        <v>22</v>
      </c>
      <c r="G50" s="15">
        <v>10</v>
      </c>
      <c r="H50" s="15">
        <v>2</v>
      </c>
      <c r="I50" s="14" t="s">
        <v>22</v>
      </c>
      <c r="J50" s="15">
        <v>5</v>
      </c>
      <c r="K50" s="15">
        <v>1</v>
      </c>
      <c r="L50" s="16">
        <v>9196</v>
      </c>
      <c r="M50" s="16">
        <v>1308</v>
      </c>
      <c r="N50" s="17">
        <f t="shared" si="6"/>
        <v>0.14223575467594607</v>
      </c>
      <c r="O50" s="16">
        <v>88</v>
      </c>
      <c r="P50" s="16">
        <v>138</v>
      </c>
      <c r="Q50" s="18">
        <f t="shared" si="8"/>
        <v>6.7278287461773695E-2</v>
      </c>
      <c r="R50" s="18">
        <f t="shared" si="9"/>
        <v>0.10550458715596331</v>
      </c>
      <c r="S50" s="18">
        <f t="shared" si="7"/>
        <v>0.827217125382263</v>
      </c>
    </row>
    <row r="51" spans="1:19" x14ac:dyDescent="0.2">
      <c r="A51" s="14" t="s">
        <v>64</v>
      </c>
      <c r="B51" s="14" t="s">
        <v>65</v>
      </c>
      <c r="C51" s="14" t="s">
        <v>22</v>
      </c>
      <c r="D51" s="15">
        <v>8</v>
      </c>
      <c r="E51" s="15">
        <v>41</v>
      </c>
      <c r="F51" s="14" t="s">
        <v>22</v>
      </c>
      <c r="G51" s="15">
        <v>33</v>
      </c>
      <c r="H51" s="15">
        <v>10</v>
      </c>
      <c r="I51" s="14" t="s">
        <v>22</v>
      </c>
      <c r="J51" s="15">
        <v>19</v>
      </c>
      <c r="K51" s="15">
        <v>4</v>
      </c>
      <c r="L51" s="16">
        <v>37212</v>
      </c>
      <c r="M51" s="16">
        <v>16586</v>
      </c>
      <c r="N51" s="17">
        <f t="shared" si="6"/>
        <v>0.445716435558422</v>
      </c>
      <c r="O51" s="16">
        <v>2395</v>
      </c>
      <c r="P51" s="16">
        <v>1825</v>
      </c>
      <c r="Q51" s="18">
        <f t="shared" si="8"/>
        <v>0.14439889063065237</v>
      </c>
      <c r="R51" s="18">
        <f t="shared" si="9"/>
        <v>0.11003255757868081</v>
      </c>
      <c r="S51" s="18">
        <f t="shared" si="7"/>
        <v>0.74556855179066683</v>
      </c>
    </row>
    <row r="52" spans="1:19" x14ac:dyDescent="0.2">
      <c r="A52" s="14" t="s">
        <v>82</v>
      </c>
      <c r="B52" s="14" t="s">
        <v>83</v>
      </c>
      <c r="C52" s="14" t="s">
        <v>22</v>
      </c>
      <c r="D52" s="15">
        <v>5</v>
      </c>
      <c r="E52" s="15">
        <v>41</v>
      </c>
      <c r="F52" s="14" t="s">
        <v>22</v>
      </c>
      <c r="G52" s="15">
        <v>1</v>
      </c>
      <c r="H52" s="15">
        <v>2</v>
      </c>
      <c r="I52" s="14" t="s">
        <v>22</v>
      </c>
      <c r="J52" s="15">
        <v>6</v>
      </c>
      <c r="K52" s="15">
        <v>1</v>
      </c>
      <c r="L52" s="16">
        <v>28197</v>
      </c>
      <c r="M52" s="16">
        <v>4001</v>
      </c>
      <c r="N52" s="17">
        <f t="shared" si="6"/>
        <v>0.14189452778664396</v>
      </c>
      <c r="O52" s="16">
        <v>0</v>
      </c>
      <c r="P52" s="16">
        <v>442</v>
      </c>
      <c r="Q52" s="18">
        <f t="shared" si="8"/>
        <v>0</v>
      </c>
      <c r="R52" s="18">
        <f t="shared" si="9"/>
        <v>0.11047238190452387</v>
      </c>
      <c r="S52" s="18">
        <f t="shared" si="7"/>
        <v>0.88952761809547609</v>
      </c>
    </row>
    <row r="53" spans="1:19" x14ac:dyDescent="0.2">
      <c r="A53" s="14" t="s">
        <v>89</v>
      </c>
      <c r="B53" s="14" t="s">
        <v>49</v>
      </c>
      <c r="C53" s="14" t="s">
        <v>22</v>
      </c>
      <c r="D53" s="15">
        <v>3</v>
      </c>
      <c r="E53" s="15">
        <v>27</v>
      </c>
      <c r="F53" s="14" t="s">
        <v>22</v>
      </c>
      <c r="G53" s="15">
        <v>14</v>
      </c>
      <c r="H53" s="15">
        <v>10</v>
      </c>
      <c r="I53" s="14" t="s">
        <v>22</v>
      </c>
      <c r="J53" s="15">
        <v>9</v>
      </c>
      <c r="K53" s="15">
        <v>2</v>
      </c>
      <c r="L53" s="16">
        <v>30420</v>
      </c>
      <c r="M53" s="16">
        <v>6943</v>
      </c>
      <c r="N53" s="17">
        <f t="shared" si="6"/>
        <v>0.22823800131492439</v>
      </c>
      <c r="O53" s="16">
        <v>335</v>
      </c>
      <c r="P53" s="16">
        <v>911</v>
      </c>
      <c r="Q53" s="18">
        <f t="shared" si="8"/>
        <v>4.8250036007489561E-2</v>
      </c>
      <c r="R53" s="18">
        <f t="shared" si="9"/>
        <v>0.13121129194872533</v>
      </c>
      <c r="S53" s="18">
        <f t="shared" si="7"/>
        <v>0.82053867204378506</v>
      </c>
    </row>
    <row r="54" spans="1:19" x14ac:dyDescent="0.2">
      <c r="A54" s="14" t="s">
        <v>98</v>
      </c>
      <c r="B54" s="14" t="s">
        <v>25</v>
      </c>
      <c r="C54" s="14" t="s">
        <v>22</v>
      </c>
      <c r="D54" s="15">
        <v>3</v>
      </c>
      <c r="E54" s="15">
        <v>23</v>
      </c>
      <c r="F54" s="14" t="s">
        <v>22</v>
      </c>
      <c r="G54" s="15">
        <v>12</v>
      </c>
      <c r="H54" s="15">
        <v>1</v>
      </c>
      <c r="I54" s="14" t="s">
        <v>22</v>
      </c>
      <c r="J54" s="15">
        <v>13</v>
      </c>
      <c r="K54" s="15">
        <v>1</v>
      </c>
      <c r="L54" s="16">
        <v>13363</v>
      </c>
      <c r="M54" s="16">
        <v>3451</v>
      </c>
      <c r="N54" s="17">
        <f t="shared" si="6"/>
        <v>0.25825039287585122</v>
      </c>
      <c r="O54" s="16">
        <v>45</v>
      </c>
      <c r="P54" s="16">
        <v>510</v>
      </c>
      <c r="Q54" s="18">
        <f t="shared" si="8"/>
        <v>1.3039698638075921E-2</v>
      </c>
      <c r="R54" s="18">
        <f t="shared" si="9"/>
        <v>0.14778325123152711</v>
      </c>
      <c r="S54" s="18">
        <f t="shared" si="7"/>
        <v>0.8391770501303969</v>
      </c>
    </row>
    <row r="55" spans="1:19" x14ac:dyDescent="0.2">
      <c r="A55" s="14" t="s">
        <v>94</v>
      </c>
      <c r="B55" s="14" t="s">
        <v>95</v>
      </c>
      <c r="C55" s="14" t="s">
        <v>22</v>
      </c>
      <c r="D55" s="15">
        <v>3</v>
      </c>
      <c r="E55" s="15">
        <v>29</v>
      </c>
      <c r="F55" s="14" t="s">
        <v>22</v>
      </c>
      <c r="G55" s="15">
        <v>11</v>
      </c>
      <c r="H55" s="15">
        <v>10</v>
      </c>
      <c r="I55" s="14" t="s">
        <v>22</v>
      </c>
      <c r="J55" s="15">
        <v>9</v>
      </c>
      <c r="K55" s="15">
        <v>10</v>
      </c>
      <c r="L55" s="16">
        <v>23216</v>
      </c>
      <c r="M55" s="16">
        <v>7632</v>
      </c>
      <c r="N55" s="17">
        <f t="shared" si="6"/>
        <v>0.32873880082701584</v>
      </c>
      <c r="O55" s="16">
        <v>198</v>
      </c>
      <c r="P55" s="16">
        <v>1142</v>
      </c>
      <c r="Q55" s="18">
        <f t="shared" si="8"/>
        <v>2.5943396226415096E-2</v>
      </c>
      <c r="R55" s="18">
        <f t="shared" si="9"/>
        <v>0.14963312368972748</v>
      </c>
      <c r="S55" s="18">
        <f t="shared" si="7"/>
        <v>0.82442348008385746</v>
      </c>
    </row>
    <row r="56" spans="1:19" x14ac:dyDescent="0.2">
      <c r="A56" s="14" t="s">
        <v>50</v>
      </c>
      <c r="B56" s="14" t="s">
        <v>51</v>
      </c>
      <c r="C56" s="14" t="s">
        <v>22</v>
      </c>
      <c r="D56" s="15">
        <v>3</v>
      </c>
      <c r="E56" s="15">
        <v>31</v>
      </c>
      <c r="F56" s="14" t="s">
        <v>22</v>
      </c>
      <c r="G56" s="15">
        <v>26</v>
      </c>
      <c r="H56" s="15">
        <v>6</v>
      </c>
      <c r="I56" s="14" t="s">
        <v>22</v>
      </c>
      <c r="J56" s="15">
        <v>25</v>
      </c>
      <c r="K56" s="15">
        <v>2</v>
      </c>
      <c r="L56" s="16">
        <v>22847</v>
      </c>
      <c r="M56" s="16">
        <v>6330</v>
      </c>
      <c r="N56" s="17">
        <f t="shared" si="6"/>
        <v>0.27706044557272291</v>
      </c>
      <c r="O56" s="16">
        <v>139</v>
      </c>
      <c r="P56" s="16">
        <v>1157</v>
      </c>
      <c r="Q56" s="18">
        <f t="shared" si="8"/>
        <v>2.1958925750394945E-2</v>
      </c>
      <c r="R56" s="18">
        <f t="shared" si="9"/>
        <v>0.18278041074249604</v>
      </c>
      <c r="S56" s="18">
        <f t="shared" si="7"/>
        <v>0.795260663507109</v>
      </c>
    </row>
    <row r="57" spans="1:19" x14ac:dyDescent="0.2">
      <c r="A57" s="14" t="s">
        <v>80</v>
      </c>
      <c r="B57" s="14" t="s">
        <v>21</v>
      </c>
      <c r="C57" s="14" t="s">
        <v>22</v>
      </c>
      <c r="D57" s="15">
        <v>2</v>
      </c>
      <c r="E57" s="15">
        <v>23</v>
      </c>
      <c r="F57" s="14" t="s">
        <v>22</v>
      </c>
      <c r="G57" s="15">
        <v>33</v>
      </c>
      <c r="H57" s="15">
        <v>4</v>
      </c>
      <c r="I57" s="14" t="s">
        <v>22</v>
      </c>
      <c r="J57" s="15">
        <v>12</v>
      </c>
      <c r="K57" s="15">
        <v>3</v>
      </c>
      <c r="L57" s="16">
        <v>15285</v>
      </c>
      <c r="M57" s="16">
        <v>3385</v>
      </c>
      <c r="N57" s="17">
        <f t="shared" si="6"/>
        <v>0.22145894667975138</v>
      </c>
      <c r="O57" s="16">
        <v>451</v>
      </c>
      <c r="P57" s="16">
        <v>626</v>
      </c>
      <c r="Q57" s="18">
        <f t="shared" si="8"/>
        <v>0.13323485967503693</v>
      </c>
      <c r="R57" s="18">
        <f t="shared" si="9"/>
        <v>0.18493353028064993</v>
      </c>
      <c r="S57" s="18">
        <f t="shared" si="7"/>
        <v>0.68183161004431314</v>
      </c>
    </row>
    <row r="58" spans="1:19" x14ac:dyDescent="0.2">
      <c r="A58" s="14" t="s">
        <v>88</v>
      </c>
      <c r="B58" s="14" t="s">
        <v>53</v>
      </c>
      <c r="C58" s="14" t="s">
        <v>22</v>
      </c>
      <c r="D58" s="15">
        <v>2</v>
      </c>
      <c r="E58" s="15">
        <v>29</v>
      </c>
      <c r="F58" s="14" t="s">
        <v>22</v>
      </c>
      <c r="G58" s="15">
        <v>11</v>
      </c>
      <c r="H58" s="15">
        <v>3</v>
      </c>
      <c r="I58" s="14" t="s">
        <v>22</v>
      </c>
      <c r="J58" s="15">
        <v>11</v>
      </c>
      <c r="K58" s="15">
        <v>3</v>
      </c>
      <c r="L58" s="16">
        <v>50105</v>
      </c>
      <c r="M58" s="16">
        <v>9523</v>
      </c>
      <c r="N58" s="17">
        <f t="shared" si="6"/>
        <v>0.19006087216844628</v>
      </c>
      <c r="O58" s="16">
        <v>0</v>
      </c>
      <c r="P58" s="16">
        <v>1912</v>
      </c>
      <c r="Q58" s="18">
        <f t="shared" si="8"/>
        <v>0</v>
      </c>
      <c r="R58" s="18">
        <f t="shared" si="9"/>
        <v>0.20077706605061429</v>
      </c>
      <c r="S58" s="18">
        <f t="shared" si="7"/>
        <v>0.79922293394938571</v>
      </c>
    </row>
    <row r="59" spans="1:19" x14ac:dyDescent="0.2">
      <c r="A59" s="14" t="s">
        <v>99</v>
      </c>
      <c r="B59" s="14" t="s">
        <v>62</v>
      </c>
      <c r="C59" s="14" t="s">
        <v>22</v>
      </c>
      <c r="D59" s="15">
        <v>1</v>
      </c>
      <c r="E59" s="15">
        <v>13</v>
      </c>
      <c r="F59" s="14" t="s">
        <v>22</v>
      </c>
      <c r="G59" s="15">
        <v>13</v>
      </c>
      <c r="H59" s="15">
        <v>2</v>
      </c>
      <c r="I59" s="14" t="s">
        <v>22</v>
      </c>
      <c r="J59" s="15">
        <v>10</v>
      </c>
      <c r="K59" s="15">
        <v>1</v>
      </c>
      <c r="L59" s="16">
        <v>13832</v>
      </c>
      <c r="M59" s="16">
        <v>2390</v>
      </c>
      <c r="N59" s="17">
        <f t="shared" si="6"/>
        <v>0.17278773857721227</v>
      </c>
      <c r="O59" s="16">
        <v>101</v>
      </c>
      <c r="P59" s="16">
        <v>488</v>
      </c>
      <c r="Q59" s="18">
        <f t="shared" si="8"/>
        <v>4.225941422594142E-2</v>
      </c>
      <c r="R59" s="18">
        <f t="shared" si="9"/>
        <v>0.20418410041841004</v>
      </c>
      <c r="S59" s="18">
        <f t="shared" si="7"/>
        <v>0.75355648535564856</v>
      </c>
    </row>
    <row r="60" spans="1:19" x14ac:dyDescent="0.2">
      <c r="A60" s="14" t="s">
        <v>69</v>
      </c>
      <c r="B60" s="14" t="s">
        <v>70</v>
      </c>
      <c r="C60" s="14" t="s">
        <v>22</v>
      </c>
      <c r="D60" s="15">
        <v>4</v>
      </c>
      <c r="E60" s="15">
        <v>30</v>
      </c>
      <c r="F60" s="14" t="s">
        <v>22</v>
      </c>
      <c r="G60" s="15">
        <v>21</v>
      </c>
      <c r="H60" s="15">
        <v>6</v>
      </c>
      <c r="I60" s="14" t="s">
        <v>22</v>
      </c>
      <c r="J60" s="15">
        <v>12</v>
      </c>
      <c r="K60" s="15">
        <v>3</v>
      </c>
      <c r="L60" s="16">
        <v>15397</v>
      </c>
      <c r="M60" s="16">
        <v>2809</v>
      </c>
      <c r="N60" s="17">
        <f t="shared" si="6"/>
        <v>0.18243813729947392</v>
      </c>
      <c r="O60" s="16">
        <v>70</v>
      </c>
      <c r="P60" s="16">
        <v>583</v>
      </c>
      <c r="Q60" s="18">
        <f t="shared" si="8"/>
        <v>2.491990032039872E-2</v>
      </c>
      <c r="R60" s="18">
        <f t="shared" si="9"/>
        <v>0.20754716981132076</v>
      </c>
      <c r="S60" s="18">
        <f t="shared" si="7"/>
        <v>0.76753292986828048</v>
      </c>
    </row>
    <row r="61" spans="1:19" x14ac:dyDescent="0.2">
      <c r="A61" s="14" t="s">
        <v>52</v>
      </c>
      <c r="B61" s="14" t="s">
        <v>53</v>
      </c>
      <c r="C61" s="14" t="s">
        <v>22</v>
      </c>
      <c r="D61" s="15">
        <v>5</v>
      </c>
      <c r="E61" s="15">
        <v>32</v>
      </c>
      <c r="F61" s="14" t="s">
        <v>22</v>
      </c>
      <c r="G61" s="15">
        <v>20</v>
      </c>
      <c r="H61" s="15">
        <v>2</v>
      </c>
      <c r="I61" s="14" t="s">
        <v>22</v>
      </c>
      <c r="J61" s="15">
        <v>12</v>
      </c>
      <c r="K61" s="15">
        <v>2</v>
      </c>
      <c r="L61" s="16">
        <v>43774</v>
      </c>
      <c r="M61" s="16">
        <v>8006</v>
      </c>
      <c r="N61" s="17">
        <f t="shared" si="6"/>
        <v>0.18289395531594096</v>
      </c>
      <c r="O61" s="16">
        <v>138</v>
      </c>
      <c r="P61" s="16">
        <v>1690</v>
      </c>
      <c r="Q61" s="18">
        <f t="shared" si="8"/>
        <v>1.7237072195853111E-2</v>
      </c>
      <c r="R61" s="18">
        <f t="shared" si="9"/>
        <v>0.21109168123907068</v>
      </c>
      <c r="S61" s="18">
        <f t="shared" si="7"/>
        <v>0.77167124656507613</v>
      </c>
    </row>
    <row r="62" spans="1:19" x14ac:dyDescent="0.2">
      <c r="A62" s="14" t="s">
        <v>106</v>
      </c>
      <c r="B62" s="14" t="s">
        <v>62</v>
      </c>
      <c r="C62" s="14" t="s">
        <v>22</v>
      </c>
      <c r="D62" s="15">
        <v>2</v>
      </c>
      <c r="E62" s="15">
        <v>10</v>
      </c>
      <c r="F62" s="14" t="s">
        <v>22</v>
      </c>
      <c r="G62" s="15">
        <v>28</v>
      </c>
      <c r="H62" s="15">
        <v>4</v>
      </c>
      <c r="I62" s="14" t="s">
        <v>22</v>
      </c>
      <c r="J62" s="15">
        <v>11</v>
      </c>
      <c r="K62" s="15">
        <v>4</v>
      </c>
      <c r="L62" s="16">
        <v>7773</v>
      </c>
      <c r="M62" s="16">
        <v>1692</v>
      </c>
      <c r="N62" s="17">
        <f t="shared" si="6"/>
        <v>0.21767657275183327</v>
      </c>
      <c r="O62" s="16">
        <v>220</v>
      </c>
      <c r="P62" s="16">
        <v>360</v>
      </c>
      <c r="Q62" s="18">
        <f t="shared" si="8"/>
        <v>0.13002364066193853</v>
      </c>
      <c r="R62" s="18">
        <f t="shared" si="9"/>
        <v>0.21276595744680851</v>
      </c>
      <c r="S62" s="18">
        <f t="shared" si="7"/>
        <v>0.65721040189125302</v>
      </c>
    </row>
    <row r="63" spans="1:19" x14ac:dyDescent="0.2">
      <c r="A63" s="14" t="s">
        <v>97</v>
      </c>
      <c r="B63" s="14" t="s">
        <v>55</v>
      </c>
      <c r="C63" s="14" t="s">
        <v>22</v>
      </c>
      <c r="D63" s="15">
        <v>2</v>
      </c>
      <c r="E63" s="15">
        <v>23</v>
      </c>
      <c r="F63" s="14" t="s">
        <v>22</v>
      </c>
      <c r="G63" s="15">
        <v>23</v>
      </c>
      <c r="H63" s="15">
        <v>6</v>
      </c>
      <c r="I63" s="14" t="s">
        <v>22</v>
      </c>
      <c r="J63" s="15">
        <v>16</v>
      </c>
      <c r="K63" s="15">
        <v>4</v>
      </c>
      <c r="L63" s="16">
        <v>26458</v>
      </c>
      <c r="M63" s="16">
        <v>3070</v>
      </c>
      <c r="N63" s="17">
        <f t="shared" si="6"/>
        <v>0.11603295789553254</v>
      </c>
      <c r="O63" s="16">
        <v>110</v>
      </c>
      <c r="P63" s="16">
        <v>729</v>
      </c>
      <c r="Q63" s="18">
        <f t="shared" si="8"/>
        <v>3.5830618892508145E-2</v>
      </c>
      <c r="R63" s="18">
        <f t="shared" si="9"/>
        <v>0.23745928338762215</v>
      </c>
      <c r="S63" s="18">
        <f t="shared" si="7"/>
        <v>0.72671009771986972</v>
      </c>
    </row>
    <row r="64" spans="1:19" x14ac:dyDescent="0.2">
      <c r="A64" s="14" t="s">
        <v>100</v>
      </c>
      <c r="B64" s="14" t="s">
        <v>21</v>
      </c>
      <c r="C64" s="14" t="s">
        <v>22</v>
      </c>
      <c r="D64" s="15">
        <v>2</v>
      </c>
      <c r="E64" s="15">
        <v>25</v>
      </c>
      <c r="F64" s="14" t="s">
        <v>22</v>
      </c>
      <c r="G64" s="15">
        <v>42</v>
      </c>
      <c r="H64" s="15">
        <v>12</v>
      </c>
      <c r="I64" s="14" t="s">
        <v>22</v>
      </c>
      <c r="J64" s="15">
        <v>24</v>
      </c>
      <c r="K64" s="15">
        <v>6</v>
      </c>
      <c r="L64" s="16">
        <v>18517</v>
      </c>
      <c r="M64" s="16">
        <v>4127</v>
      </c>
      <c r="N64" s="17">
        <f t="shared" si="6"/>
        <v>0.22287627585462008</v>
      </c>
      <c r="O64" s="16">
        <v>558</v>
      </c>
      <c r="P64" s="16">
        <v>1003</v>
      </c>
      <c r="Q64" s="18">
        <f t="shared" si="8"/>
        <v>0.13520717228010662</v>
      </c>
      <c r="R64" s="18">
        <f t="shared" si="9"/>
        <v>0.24303368063968986</v>
      </c>
      <c r="S64" s="18">
        <f t="shared" si="7"/>
        <v>0.62175914708020352</v>
      </c>
    </row>
    <row r="65" spans="1:19" x14ac:dyDescent="0.2">
      <c r="A65" s="14" t="s">
        <v>74</v>
      </c>
      <c r="B65" s="14" t="s">
        <v>62</v>
      </c>
      <c r="C65" s="14" t="s">
        <v>22</v>
      </c>
      <c r="D65" s="15">
        <v>2</v>
      </c>
      <c r="E65" s="15">
        <v>13</v>
      </c>
      <c r="F65" s="14" t="s">
        <v>22</v>
      </c>
      <c r="G65" s="15">
        <v>28</v>
      </c>
      <c r="H65" s="15">
        <v>3</v>
      </c>
      <c r="I65" s="14" t="s">
        <v>22</v>
      </c>
      <c r="J65" s="15">
        <v>14</v>
      </c>
      <c r="K65" s="15">
        <v>1</v>
      </c>
      <c r="L65" s="16">
        <v>11982</v>
      </c>
      <c r="M65" s="16">
        <v>2201</v>
      </c>
      <c r="N65" s="17">
        <f t="shared" si="6"/>
        <v>0.18369220497412786</v>
      </c>
      <c r="O65" s="16">
        <v>86</v>
      </c>
      <c r="P65" s="16">
        <v>587</v>
      </c>
      <c r="Q65" s="18">
        <f t="shared" si="8"/>
        <v>3.9073148568832351E-2</v>
      </c>
      <c r="R65" s="18">
        <f t="shared" si="9"/>
        <v>0.26669695592912313</v>
      </c>
      <c r="S65" s="18">
        <f t="shared" si="7"/>
        <v>0.6942298955020445</v>
      </c>
    </row>
    <row r="66" spans="1:19" x14ac:dyDescent="0.2">
      <c r="A66" s="14" t="s">
        <v>61</v>
      </c>
      <c r="B66" s="14" t="s">
        <v>62</v>
      </c>
      <c r="C66" s="14" t="s">
        <v>22</v>
      </c>
      <c r="D66" s="15">
        <v>1</v>
      </c>
      <c r="E66" s="15">
        <v>20</v>
      </c>
      <c r="F66" s="14" t="s">
        <v>22</v>
      </c>
      <c r="G66" s="15">
        <v>30</v>
      </c>
      <c r="H66" s="15">
        <v>6</v>
      </c>
      <c r="I66" s="14" t="s">
        <v>22</v>
      </c>
      <c r="J66" s="15">
        <v>20</v>
      </c>
      <c r="K66" s="15">
        <v>6</v>
      </c>
      <c r="L66" s="16">
        <v>19145</v>
      </c>
      <c r="M66" s="16">
        <v>2724</v>
      </c>
      <c r="N66" s="17">
        <f t="shared" si="6"/>
        <v>0.14228258030817445</v>
      </c>
      <c r="O66" s="16">
        <v>128</v>
      </c>
      <c r="P66" s="16">
        <v>731</v>
      </c>
      <c r="Q66" s="18">
        <f t="shared" si="8"/>
        <v>4.6989720998531569E-2</v>
      </c>
      <c r="R66" s="18">
        <f t="shared" si="9"/>
        <v>0.26835535976505137</v>
      </c>
      <c r="S66" s="18">
        <f t="shared" si="7"/>
        <v>0.68465491923641708</v>
      </c>
    </row>
    <row r="67" spans="1:19" x14ac:dyDescent="0.2">
      <c r="A67" s="14" t="s">
        <v>122</v>
      </c>
      <c r="B67" s="14" t="s">
        <v>53</v>
      </c>
      <c r="C67" s="14" t="s">
        <v>22</v>
      </c>
      <c r="D67" s="15">
        <v>1</v>
      </c>
      <c r="E67" s="15">
        <v>13</v>
      </c>
      <c r="F67" s="14" t="s">
        <v>22</v>
      </c>
      <c r="G67" s="15">
        <v>23</v>
      </c>
      <c r="H67" s="15">
        <v>4</v>
      </c>
      <c r="I67" s="14" t="s">
        <v>22</v>
      </c>
      <c r="J67" s="15">
        <v>8</v>
      </c>
      <c r="K67" s="15">
        <v>4</v>
      </c>
      <c r="L67" s="16">
        <v>12554</v>
      </c>
      <c r="M67" s="16">
        <v>5288</v>
      </c>
      <c r="N67" s="17">
        <f t="shared" ref="N67:N98" si="10">M67/L67</f>
        <v>0.42122032818225269</v>
      </c>
      <c r="O67" s="16">
        <v>1557</v>
      </c>
      <c r="P67" s="16">
        <v>1481</v>
      </c>
      <c r="Q67" s="18">
        <f t="shared" si="8"/>
        <v>0.29444024205748864</v>
      </c>
      <c r="R67" s="18">
        <f t="shared" si="9"/>
        <v>0.28006807866868383</v>
      </c>
      <c r="S67" s="18">
        <f t="shared" ref="S67:S98" si="11">1-Q67-R67</f>
        <v>0.42549167927382753</v>
      </c>
    </row>
    <row r="68" spans="1:19" x14ac:dyDescent="0.2">
      <c r="A68" s="14" t="s">
        <v>90</v>
      </c>
      <c r="B68" s="14" t="s">
        <v>34</v>
      </c>
      <c r="C68" s="14" t="s">
        <v>22</v>
      </c>
      <c r="D68" s="15">
        <v>2</v>
      </c>
      <c r="E68" s="15">
        <v>11</v>
      </c>
      <c r="F68" s="14" t="s">
        <v>22</v>
      </c>
      <c r="G68" s="15">
        <v>17</v>
      </c>
      <c r="H68" s="15">
        <v>6</v>
      </c>
      <c r="I68" s="14" t="s">
        <v>22</v>
      </c>
      <c r="J68" s="15">
        <v>14</v>
      </c>
      <c r="K68" s="15">
        <v>6</v>
      </c>
      <c r="L68" s="16">
        <v>14173</v>
      </c>
      <c r="M68" s="16">
        <v>5494</v>
      </c>
      <c r="N68" s="17">
        <f t="shared" si="10"/>
        <v>0.38763846750864317</v>
      </c>
      <c r="O68" s="16">
        <v>72</v>
      </c>
      <c r="P68" s="16">
        <v>1591</v>
      </c>
      <c r="Q68" s="18">
        <f t="shared" si="8"/>
        <v>1.3105205678922462E-2</v>
      </c>
      <c r="R68" s="18">
        <f t="shared" si="9"/>
        <v>0.28958864215507829</v>
      </c>
      <c r="S68" s="18">
        <f t="shared" si="11"/>
        <v>0.69730615216599923</v>
      </c>
    </row>
    <row r="69" spans="1:19" x14ac:dyDescent="0.2">
      <c r="A69" s="14" t="s">
        <v>102</v>
      </c>
      <c r="B69" s="14" t="s">
        <v>62</v>
      </c>
      <c r="C69" s="14" t="s">
        <v>22</v>
      </c>
      <c r="D69" s="15">
        <v>2</v>
      </c>
      <c r="E69" s="15">
        <v>11</v>
      </c>
      <c r="F69" s="14" t="s">
        <v>22</v>
      </c>
      <c r="G69" s="15">
        <v>8</v>
      </c>
      <c r="H69" s="15">
        <v>1</v>
      </c>
      <c r="I69" s="14" t="s">
        <v>22</v>
      </c>
      <c r="J69" s="15">
        <v>7</v>
      </c>
      <c r="K69" s="15">
        <v>1</v>
      </c>
      <c r="L69" s="16">
        <v>6144</v>
      </c>
      <c r="M69" s="16">
        <v>1656</v>
      </c>
      <c r="N69" s="17">
        <f t="shared" si="10"/>
        <v>0.26953125</v>
      </c>
      <c r="O69" s="16">
        <v>17</v>
      </c>
      <c r="P69" s="16">
        <v>487</v>
      </c>
      <c r="Q69" s="18">
        <f t="shared" si="8"/>
        <v>1.0265700483091788E-2</v>
      </c>
      <c r="R69" s="18">
        <f t="shared" si="9"/>
        <v>0.29408212560386471</v>
      </c>
      <c r="S69" s="18">
        <f t="shared" si="11"/>
        <v>0.69565217391304346</v>
      </c>
    </row>
    <row r="70" spans="1:19" x14ac:dyDescent="0.2">
      <c r="A70" s="14" t="s">
        <v>48</v>
      </c>
      <c r="B70" s="14" t="s">
        <v>49</v>
      </c>
      <c r="C70" s="14" t="s">
        <v>22</v>
      </c>
      <c r="D70" s="15">
        <v>3</v>
      </c>
      <c r="E70" s="15">
        <v>8</v>
      </c>
      <c r="F70" s="14" t="s">
        <v>22</v>
      </c>
      <c r="G70" s="15">
        <v>7</v>
      </c>
      <c r="H70" s="15">
        <v>4</v>
      </c>
      <c r="I70" s="14" t="s">
        <v>22</v>
      </c>
      <c r="J70" s="15">
        <v>8</v>
      </c>
      <c r="K70" s="15">
        <v>4</v>
      </c>
      <c r="L70" s="16">
        <v>12942</v>
      </c>
      <c r="M70" s="16">
        <v>2537</v>
      </c>
      <c r="N70" s="17">
        <f t="shared" si="10"/>
        <v>0.19602843455416474</v>
      </c>
      <c r="O70" s="16">
        <v>0</v>
      </c>
      <c r="P70" s="16">
        <v>1359</v>
      </c>
      <c r="Q70" s="18">
        <f t="shared" si="8"/>
        <v>0</v>
      </c>
      <c r="R70" s="18">
        <f t="shared" si="9"/>
        <v>0.53567205360662196</v>
      </c>
      <c r="S70" s="18">
        <f t="shared" si="11"/>
        <v>0.46432794639337804</v>
      </c>
    </row>
    <row r="71" spans="1:19" x14ac:dyDescent="0.2">
      <c r="A71" s="14" t="s">
        <v>123</v>
      </c>
      <c r="B71" s="14" t="s">
        <v>34</v>
      </c>
      <c r="C71" s="14" t="s">
        <v>22</v>
      </c>
      <c r="D71" s="15">
        <v>4</v>
      </c>
      <c r="E71" s="15">
        <v>10</v>
      </c>
      <c r="F71" s="14" t="s">
        <v>22</v>
      </c>
      <c r="G71" s="15">
        <v>16</v>
      </c>
      <c r="H71" s="15">
        <v>5</v>
      </c>
      <c r="I71" s="14" t="s">
        <v>22</v>
      </c>
      <c r="J71" s="15">
        <v>15</v>
      </c>
      <c r="K71" s="15">
        <v>4</v>
      </c>
      <c r="L71" s="16">
        <v>2128</v>
      </c>
      <c r="M71" s="16">
        <v>1237</v>
      </c>
      <c r="N71" s="17">
        <f t="shared" si="10"/>
        <v>0.58129699248120303</v>
      </c>
      <c r="O71" s="16">
        <v>107</v>
      </c>
      <c r="P71" s="16">
        <v>1018</v>
      </c>
      <c r="Q71" s="18">
        <f t="shared" si="8"/>
        <v>8.6499595796281331E-2</v>
      </c>
      <c r="R71" s="18">
        <f t="shared" si="9"/>
        <v>0.82295877122069527</v>
      </c>
      <c r="S71" s="18">
        <f t="shared" si="11"/>
        <v>9.0541632983023423E-2</v>
      </c>
    </row>
  </sheetData>
  <mergeCells count="5">
    <mergeCell ref="A1:B1"/>
    <mergeCell ref="C1:E1"/>
    <mergeCell ref="F1:H1"/>
    <mergeCell ref="I1:K1"/>
    <mergeCell ref="L1:S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"/>
  <sheetViews>
    <sheetView topLeftCell="A34" zoomScaleNormal="100" workbookViewId="0">
      <selection activeCell="O2" sqref="A1:S71"/>
    </sheetView>
  </sheetViews>
  <sheetFormatPr defaultColWidth="11.5703125" defaultRowHeight="15" x14ac:dyDescent="0.25"/>
  <cols>
    <col min="1" max="1" width="9.28515625" customWidth="1"/>
    <col min="2" max="2" width="5.7109375" customWidth="1"/>
    <col min="3" max="3" width="10.28515625" customWidth="1"/>
  </cols>
  <sheetData>
    <row r="1" spans="1:19" x14ac:dyDescent="0.25">
      <c r="A1" s="5" t="s">
        <v>0</v>
      </c>
      <c r="B1" s="5"/>
      <c r="C1" s="4" t="s">
        <v>1</v>
      </c>
      <c r="D1" s="4"/>
      <c r="E1" s="4"/>
      <c r="F1" s="3" t="s">
        <v>2</v>
      </c>
      <c r="G1" s="3"/>
      <c r="H1" s="3"/>
      <c r="I1" s="2" t="s">
        <v>3</v>
      </c>
      <c r="J1" s="2"/>
      <c r="K1" s="2"/>
      <c r="L1" s="1" t="s">
        <v>4</v>
      </c>
      <c r="M1" s="1"/>
      <c r="N1" s="1"/>
      <c r="O1" s="1"/>
      <c r="P1" s="1"/>
      <c r="Q1" s="1"/>
      <c r="R1" s="1"/>
      <c r="S1" s="1"/>
    </row>
    <row r="2" spans="1:19" x14ac:dyDescent="0.25">
      <c r="A2" s="10" t="s">
        <v>5</v>
      </c>
      <c r="B2" s="10" t="s">
        <v>6</v>
      </c>
      <c r="C2" s="10" t="s">
        <v>7</v>
      </c>
      <c r="D2" s="11" t="s">
        <v>8</v>
      </c>
      <c r="E2" s="11" t="s">
        <v>9</v>
      </c>
      <c r="F2" s="10" t="s">
        <v>7</v>
      </c>
      <c r="G2" s="11" t="s">
        <v>9</v>
      </c>
      <c r="H2" s="11" t="s">
        <v>10</v>
      </c>
      <c r="I2" s="10" t="s">
        <v>11</v>
      </c>
      <c r="J2" s="11" t="s">
        <v>9</v>
      </c>
      <c r="K2" s="11" t="s">
        <v>10</v>
      </c>
      <c r="L2" s="12" t="s">
        <v>12</v>
      </c>
      <c r="M2" s="12" t="s">
        <v>13</v>
      </c>
      <c r="N2" s="13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spans="1:19" x14ac:dyDescent="0.25">
      <c r="A3" s="14" t="s">
        <v>106</v>
      </c>
      <c r="B3" s="14" t="s">
        <v>62</v>
      </c>
      <c r="C3" s="14" t="s">
        <v>22</v>
      </c>
      <c r="D3" s="15">
        <v>2</v>
      </c>
      <c r="E3" s="15">
        <v>10</v>
      </c>
      <c r="F3" s="14" t="s">
        <v>22</v>
      </c>
      <c r="G3" s="15">
        <v>28</v>
      </c>
      <c r="H3" s="15">
        <v>4</v>
      </c>
      <c r="I3" s="14" t="s">
        <v>22</v>
      </c>
      <c r="J3" s="15">
        <v>11</v>
      </c>
      <c r="K3" s="15">
        <v>4</v>
      </c>
      <c r="L3" s="16">
        <v>7773</v>
      </c>
      <c r="M3" s="16">
        <v>1692</v>
      </c>
      <c r="N3" s="17">
        <f t="shared" ref="N3:N12" si="0">M3/L3</f>
        <v>0.21767657275183327</v>
      </c>
      <c r="O3" s="16">
        <v>220</v>
      </c>
      <c r="P3" s="16">
        <v>360</v>
      </c>
      <c r="Q3" s="18">
        <f t="shared" ref="Q3:Q12" si="1">O3/$M3</f>
        <v>0.13002364066193853</v>
      </c>
      <c r="R3" s="18">
        <f t="shared" ref="R3:R12" si="2">P3/$M3</f>
        <v>0.21276595744680851</v>
      </c>
      <c r="S3" s="18">
        <f t="shared" ref="S3:S12" si="3">1-Q3-R3</f>
        <v>0.65721040189125302</v>
      </c>
    </row>
    <row r="4" spans="1:19" x14ac:dyDescent="0.25">
      <c r="A4" s="14" t="s">
        <v>97</v>
      </c>
      <c r="B4" s="14" t="s">
        <v>55</v>
      </c>
      <c r="C4" s="14" t="s">
        <v>22</v>
      </c>
      <c r="D4" s="15">
        <v>2</v>
      </c>
      <c r="E4" s="15">
        <v>23</v>
      </c>
      <c r="F4" s="14" t="s">
        <v>22</v>
      </c>
      <c r="G4" s="15">
        <v>23</v>
      </c>
      <c r="H4" s="15">
        <v>6</v>
      </c>
      <c r="I4" s="14" t="s">
        <v>22</v>
      </c>
      <c r="J4" s="15">
        <v>16</v>
      </c>
      <c r="K4" s="15">
        <v>4</v>
      </c>
      <c r="L4" s="16">
        <v>26458</v>
      </c>
      <c r="M4" s="16">
        <v>3070</v>
      </c>
      <c r="N4" s="17">
        <f t="shared" si="0"/>
        <v>0.11603295789553254</v>
      </c>
      <c r="O4" s="16">
        <v>110</v>
      </c>
      <c r="P4" s="16">
        <v>729</v>
      </c>
      <c r="Q4" s="18">
        <f t="shared" si="1"/>
        <v>3.5830618892508145E-2</v>
      </c>
      <c r="R4" s="18">
        <f t="shared" si="2"/>
        <v>0.23745928338762215</v>
      </c>
      <c r="S4" s="18">
        <f t="shared" si="3"/>
        <v>0.72671009771986972</v>
      </c>
    </row>
    <row r="5" spans="1:19" x14ac:dyDescent="0.25">
      <c r="A5" s="14" t="s">
        <v>100</v>
      </c>
      <c r="B5" s="14" t="s">
        <v>21</v>
      </c>
      <c r="C5" s="14" t="s">
        <v>22</v>
      </c>
      <c r="D5" s="15">
        <v>2</v>
      </c>
      <c r="E5" s="15">
        <v>25</v>
      </c>
      <c r="F5" s="14" t="s">
        <v>22</v>
      </c>
      <c r="G5" s="15">
        <v>42</v>
      </c>
      <c r="H5" s="15">
        <v>12</v>
      </c>
      <c r="I5" s="14" t="s">
        <v>22</v>
      </c>
      <c r="J5" s="15">
        <v>24</v>
      </c>
      <c r="K5" s="15">
        <v>6</v>
      </c>
      <c r="L5" s="16">
        <v>18517</v>
      </c>
      <c r="M5" s="16">
        <v>4127</v>
      </c>
      <c r="N5" s="17">
        <f t="shared" si="0"/>
        <v>0.22287627585462008</v>
      </c>
      <c r="O5" s="16">
        <v>558</v>
      </c>
      <c r="P5" s="16">
        <v>1003</v>
      </c>
      <c r="Q5" s="18">
        <f t="shared" si="1"/>
        <v>0.13520717228010662</v>
      </c>
      <c r="R5" s="18">
        <f t="shared" si="2"/>
        <v>0.24303368063968986</v>
      </c>
      <c r="S5" s="18">
        <f t="shared" si="3"/>
        <v>0.62175914708020352</v>
      </c>
    </row>
    <row r="6" spans="1:19" x14ac:dyDescent="0.25">
      <c r="A6" s="14" t="s">
        <v>74</v>
      </c>
      <c r="B6" s="14" t="s">
        <v>62</v>
      </c>
      <c r="C6" s="14" t="s">
        <v>22</v>
      </c>
      <c r="D6" s="15">
        <v>2</v>
      </c>
      <c r="E6" s="15">
        <v>13</v>
      </c>
      <c r="F6" s="14" t="s">
        <v>22</v>
      </c>
      <c r="G6" s="15">
        <v>28</v>
      </c>
      <c r="H6" s="15">
        <v>3</v>
      </c>
      <c r="I6" s="14" t="s">
        <v>22</v>
      </c>
      <c r="J6" s="15">
        <v>14</v>
      </c>
      <c r="K6" s="15">
        <v>1</v>
      </c>
      <c r="L6" s="16">
        <v>11982</v>
      </c>
      <c r="M6" s="16">
        <v>2201</v>
      </c>
      <c r="N6" s="17">
        <f t="shared" si="0"/>
        <v>0.18369220497412786</v>
      </c>
      <c r="O6" s="16">
        <v>86</v>
      </c>
      <c r="P6" s="16">
        <v>587</v>
      </c>
      <c r="Q6" s="18">
        <f t="shared" si="1"/>
        <v>3.9073148568832351E-2</v>
      </c>
      <c r="R6" s="18">
        <f t="shared" si="2"/>
        <v>0.26669695592912313</v>
      </c>
      <c r="S6" s="18">
        <f t="shared" si="3"/>
        <v>0.6942298955020445</v>
      </c>
    </row>
    <row r="7" spans="1:19" x14ac:dyDescent="0.25">
      <c r="A7" s="14" t="s">
        <v>61</v>
      </c>
      <c r="B7" s="14" t="s">
        <v>62</v>
      </c>
      <c r="C7" s="14" t="s">
        <v>22</v>
      </c>
      <c r="D7" s="15">
        <v>1</v>
      </c>
      <c r="E7" s="15">
        <v>20</v>
      </c>
      <c r="F7" s="14" t="s">
        <v>22</v>
      </c>
      <c r="G7" s="15">
        <v>30</v>
      </c>
      <c r="H7" s="15">
        <v>6</v>
      </c>
      <c r="I7" s="14" t="s">
        <v>22</v>
      </c>
      <c r="J7" s="15">
        <v>20</v>
      </c>
      <c r="K7" s="15">
        <v>6</v>
      </c>
      <c r="L7" s="16">
        <v>19145</v>
      </c>
      <c r="M7" s="16">
        <v>2724</v>
      </c>
      <c r="N7" s="17">
        <f t="shared" si="0"/>
        <v>0.14228258030817445</v>
      </c>
      <c r="O7" s="16">
        <v>128</v>
      </c>
      <c r="P7" s="16">
        <v>731</v>
      </c>
      <c r="Q7" s="18">
        <f t="shared" si="1"/>
        <v>4.6989720998531569E-2</v>
      </c>
      <c r="R7" s="18">
        <f t="shared" si="2"/>
        <v>0.26835535976505137</v>
      </c>
      <c r="S7" s="18">
        <f t="shared" si="3"/>
        <v>0.68465491923641708</v>
      </c>
    </row>
    <row r="8" spans="1:19" x14ac:dyDescent="0.25">
      <c r="A8" s="14" t="s">
        <v>122</v>
      </c>
      <c r="B8" s="14" t="s">
        <v>53</v>
      </c>
      <c r="C8" s="14" t="s">
        <v>22</v>
      </c>
      <c r="D8" s="15">
        <v>1</v>
      </c>
      <c r="E8" s="15">
        <v>13</v>
      </c>
      <c r="F8" s="14" t="s">
        <v>22</v>
      </c>
      <c r="G8" s="15">
        <v>23</v>
      </c>
      <c r="H8" s="15">
        <v>4</v>
      </c>
      <c r="I8" s="14" t="s">
        <v>22</v>
      </c>
      <c r="J8" s="15">
        <v>8</v>
      </c>
      <c r="K8" s="15">
        <v>4</v>
      </c>
      <c r="L8" s="16">
        <v>12554</v>
      </c>
      <c r="M8" s="16">
        <v>5288</v>
      </c>
      <c r="N8" s="17">
        <f t="shared" si="0"/>
        <v>0.42122032818225269</v>
      </c>
      <c r="O8" s="16">
        <v>1557</v>
      </c>
      <c r="P8" s="16">
        <v>1481</v>
      </c>
      <c r="Q8" s="18">
        <f t="shared" si="1"/>
        <v>0.29444024205748864</v>
      </c>
      <c r="R8" s="18">
        <f t="shared" si="2"/>
        <v>0.28006807866868383</v>
      </c>
      <c r="S8" s="18">
        <f t="shared" si="3"/>
        <v>0.42549167927382753</v>
      </c>
    </row>
    <row r="9" spans="1:19" x14ac:dyDescent="0.25">
      <c r="A9" s="14" t="s">
        <v>90</v>
      </c>
      <c r="B9" s="14" t="s">
        <v>34</v>
      </c>
      <c r="C9" s="14" t="s">
        <v>22</v>
      </c>
      <c r="D9" s="15">
        <v>2</v>
      </c>
      <c r="E9" s="15">
        <v>11</v>
      </c>
      <c r="F9" s="14" t="s">
        <v>22</v>
      </c>
      <c r="G9" s="15">
        <v>17</v>
      </c>
      <c r="H9" s="15">
        <v>6</v>
      </c>
      <c r="I9" s="14" t="s">
        <v>22</v>
      </c>
      <c r="J9" s="15">
        <v>14</v>
      </c>
      <c r="K9" s="15">
        <v>6</v>
      </c>
      <c r="L9" s="16">
        <v>14173</v>
      </c>
      <c r="M9" s="16">
        <v>5494</v>
      </c>
      <c r="N9" s="17">
        <f t="shared" si="0"/>
        <v>0.38763846750864317</v>
      </c>
      <c r="O9" s="16">
        <v>72</v>
      </c>
      <c r="P9" s="16">
        <v>1591</v>
      </c>
      <c r="Q9" s="18">
        <f t="shared" si="1"/>
        <v>1.3105205678922462E-2</v>
      </c>
      <c r="R9" s="18">
        <f t="shared" si="2"/>
        <v>0.28958864215507829</v>
      </c>
      <c r="S9" s="18">
        <f t="shared" si="3"/>
        <v>0.69730615216599923</v>
      </c>
    </row>
    <row r="10" spans="1:19" x14ac:dyDescent="0.25">
      <c r="A10" s="14" t="s">
        <v>102</v>
      </c>
      <c r="B10" s="14" t="s">
        <v>62</v>
      </c>
      <c r="C10" s="14" t="s">
        <v>22</v>
      </c>
      <c r="D10" s="15">
        <v>2</v>
      </c>
      <c r="E10" s="15">
        <v>11</v>
      </c>
      <c r="F10" s="14" t="s">
        <v>22</v>
      </c>
      <c r="G10" s="15">
        <v>8</v>
      </c>
      <c r="H10" s="15">
        <v>1</v>
      </c>
      <c r="I10" s="14" t="s">
        <v>22</v>
      </c>
      <c r="J10" s="15">
        <v>7</v>
      </c>
      <c r="K10" s="15">
        <v>1</v>
      </c>
      <c r="L10" s="16">
        <v>6144</v>
      </c>
      <c r="M10" s="16">
        <v>1656</v>
      </c>
      <c r="N10" s="17">
        <f t="shared" si="0"/>
        <v>0.26953125</v>
      </c>
      <c r="O10" s="16">
        <v>17</v>
      </c>
      <c r="P10" s="16">
        <v>487</v>
      </c>
      <c r="Q10" s="18">
        <f t="shared" si="1"/>
        <v>1.0265700483091788E-2</v>
      </c>
      <c r="R10" s="18">
        <f t="shared" si="2"/>
        <v>0.29408212560386471</v>
      </c>
      <c r="S10" s="18">
        <f t="shared" si="3"/>
        <v>0.69565217391304346</v>
      </c>
    </row>
    <row r="11" spans="1:19" x14ac:dyDescent="0.25">
      <c r="A11" s="14" t="s">
        <v>48</v>
      </c>
      <c r="B11" s="14" t="s">
        <v>49</v>
      </c>
      <c r="C11" s="14" t="s">
        <v>22</v>
      </c>
      <c r="D11" s="15">
        <v>3</v>
      </c>
      <c r="E11" s="15">
        <v>8</v>
      </c>
      <c r="F11" s="14" t="s">
        <v>22</v>
      </c>
      <c r="G11" s="15">
        <v>7</v>
      </c>
      <c r="H11" s="15">
        <v>4</v>
      </c>
      <c r="I11" s="14" t="s">
        <v>22</v>
      </c>
      <c r="J11" s="15">
        <v>8</v>
      </c>
      <c r="K11" s="15">
        <v>4</v>
      </c>
      <c r="L11" s="16">
        <v>12942</v>
      </c>
      <c r="M11" s="16">
        <v>2537</v>
      </c>
      <c r="N11" s="17">
        <f t="shared" si="0"/>
        <v>0.19602843455416474</v>
      </c>
      <c r="O11" s="16">
        <v>0</v>
      </c>
      <c r="P11" s="16">
        <v>1359</v>
      </c>
      <c r="Q11" s="18">
        <f t="shared" si="1"/>
        <v>0</v>
      </c>
      <c r="R11" s="18">
        <f t="shared" si="2"/>
        <v>0.53567205360662196</v>
      </c>
      <c r="S11" s="18">
        <f t="shared" si="3"/>
        <v>0.46432794639337804</v>
      </c>
    </row>
    <row r="12" spans="1:19" x14ac:dyDescent="0.25">
      <c r="A12" s="14" t="s">
        <v>123</v>
      </c>
      <c r="B12" s="14" t="s">
        <v>34</v>
      </c>
      <c r="C12" s="14" t="s">
        <v>22</v>
      </c>
      <c r="D12" s="15">
        <v>4</v>
      </c>
      <c r="E12" s="15">
        <v>10</v>
      </c>
      <c r="F12" s="14" t="s">
        <v>22</v>
      </c>
      <c r="G12" s="15">
        <v>16</v>
      </c>
      <c r="H12" s="15">
        <v>5</v>
      </c>
      <c r="I12" s="14" t="s">
        <v>22</v>
      </c>
      <c r="J12" s="15">
        <v>15</v>
      </c>
      <c r="K12" s="15">
        <v>4</v>
      </c>
      <c r="L12" s="16">
        <v>2128</v>
      </c>
      <c r="M12" s="16">
        <v>1237</v>
      </c>
      <c r="N12" s="17">
        <f t="shared" si="0"/>
        <v>0.58129699248120303</v>
      </c>
      <c r="O12" s="16">
        <v>107</v>
      </c>
      <c r="P12" s="16">
        <v>1018</v>
      </c>
      <c r="Q12" s="18">
        <f t="shared" si="1"/>
        <v>8.6499595796281331E-2</v>
      </c>
      <c r="R12" s="18">
        <f t="shared" si="2"/>
        <v>0.82295877122069527</v>
      </c>
      <c r="S12" s="18">
        <f t="shared" si="3"/>
        <v>9.0541632983023423E-2</v>
      </c>
    </row>
  </sheetData>
  <mergeCells count="5">
    <mergeCell ref="A1:B1"/>
    <mergeCell ref="C1:E1"/>
    <mergeCell ref="F1:H1"/>
    <mergeCell ref="I1:K1"/>
    <mergeCell ref="L1:S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Normal="100" workbookViewId="0">
      <selection activeCell="N17" sqref="A1:S71"/>
    </sheetView>
  </sheetViews>
  <sheetFormatPr defaultColWidth="11.5703125" defaultRowHeight="15" x14ac:dyDescent="0.25"/>
  <cols>
    <col min="7" max="7" width="7.42578125" customWidth="1"/>
  </cols>
  <sheetData>
    <row r="1" spans="1:7" x14ac:dyDescent="0.25">
      <c r="A1" s="19" t="s">
        <v>125</v>
      </c>
      <c r="B1" s="12" t="s">
        <v>12</v>
      </c>
      <c r="C1" s="12" t="s">
        <v>13</v>
      </c>
      <c r="D1" s="11" t="s">
        <v>15</v>
      </c>
      <c r="E1" s="11" t="s">
        <v>16</v>
      </c>
      <c r="F1" s="11" t="s">
        <v>126</v>
      </c>
      <c r="G1" s="20" t="s">
        <v>127</v>
      </c>
    </row>
    <row r="2" spans="1:7" x14ac:dyDescent="0.25">
      <c r="A2" s="14" t="s">
        <v>106</v>
      </c>
      <c r="B2" s="16">
        <v>7773</v>
      </c>
      <c r="C2" s="16">
        <v>1692</v>
      </c>
      <c r="D2" s="16">
        <v>220</v>
      </c>
      <c r="E2" s="16">
        <v>360</v>
      </c>
      <c r="F2" s="16">
        <f t="shared" ref="F2:F11" si="0">C2-D2-E2</f>
        <v>1112</v>
      </c>
      <c r="G2" s="21">
        <f t="shared" ref="G2:G11" si="1">E2/C2</f>
        <v>0.21276595744680851</v>
      </c>
    </row>
    <row r="3" spans="1:7" x14ac:dyDescent="0.25">
      <c r="A3" s="14" t="s">
        <v>97</v>
      </c>
      <c r="B3" s="16">
        <v>26458</v>
      </c>
      <c r="C3" s="16">
        <v>3070</v>
      </c>
      <c r="D3" s="16">
        <v>110</v>
      </c>
      <c r="E3" s="16">
        <v>729</v>
      </c>
      <c r="F3" s="16">
        <f t="shared" si="0"/>
        <v>2231</v>
      </c>
      <c r="G3" s="21">
        <f t="shared" si="1"/>
        <v>0.23745928338762215</v>
      </c>
    </row>
    <row r="4" spans="1:7" x14ac:dyDescent="0.25">
      <c r="A4" s="14" t="s">
        <v>100</v>
      </c>
      <c r="B4" s="16">
        <v>18517</v>
      </c>
      <c r="C4" s="16">
        <v>4127</v>
      </c>
      <c r="D4" s="16">
        <v>558</v>
      </c>
      <c r="E4" s="16">
        <v>1003</v>
      </c>
      <c r="F4" s="16">
        <f t="shared" si="0"/>
        <v>2566</v>
      </c>
      <c r="G4" s="21">
        <f t="shared" si="1"/>
        <v>0.24303368063968986</v>
      </c>
    </row>
    <row r="5" spans="1:7" x14ac:dyDescent="0.25">
      <c r="A5" s="14" t="s">
        <v>74</v>
      </c>
      <c r="B5" s="16">
        <v>11982</v>
      </c>
      <c r="C5" s="16">
        <v>2201</v>
      </c>
      <c r="D5" s="16">
        <v>86</v>
      </c>
      <c r="E5" s="16">
        <v>587</v>
      </c>
      <c r="F5" s="16">
        <f t="shared" si="0"/>
        <v>1528</v>
      </c>
      <c r="G5" s="21">
        <f t="shared" si="1"/>
        <v>0.26669695592912313</v>
      </c>
    </row>
    <row r="6" spans="1:7" x14ac:dyDescent="0.25">
      <c r="A6" s="14" t="s">
        <v>61</v>
      </c>
      <c r="B6" s="16">
        <v>19145</v>
      </c>
      <c r="C6" s="16">
        <v>2724</v>
      </c>
      <c r="D6" s="16">
        <v>128</v>
      </c>
      <c r="E6" s="16">
        <v>731</v>
      </c>
      <c r="F6" s="16">
        <f t="shared" si="0"/>
        <v>1865</v>
      </c>
      <c r="G6" s="21">
        <f t="shared" si="1"/>
        <v>0.26835535976505137</v>
      </c>
    </row>
    <row r="7" spans="1:7" x14ac:dyDescent="0.25">
      <c r="A7" s="14" t="s">
        <v>122</v>
      </c>
      <c r="B7" s="16">
        <v>12554</v>
      </c>
      <c r="C7" s="16">
        <v>5288</v>
      </c>
      <c r="D7" s="16">
        <v>1557</v>
      </c>
      <c r="E7" s="16">
        <v>1481</v>
      </c>
      <c r="F7" s="16">
        <f t="shared" si="0"/>
        <v>2250</v>
      </c>
      <c r="G7" s="21">
        <f t="shared" si="1"/>
        <v>0.28006807866868383</v>
      </c>
    </row>
    <row r="8" spans="1:7" x14ac:dyDescent="0.25">
      <c r="A8" s="14" t="s">
        <v>90</v>
      </c>
      <c r="B8" s="16">
        <v>14173</v>
      </c>
      <c r="C8" s="16">
        <v>5494</v>
      </c>
      <c r="D8" s="16">
        <v>72</v>
      </c>
      <c r="E8" s="16">
        <v>1591</v>
      </c>
      <c r="F8" s="16">
        <f t="shared" si="0"/>
        <v>3831</v>
      </c>
      <c r="G8" s="21">
        <f t="shared" si="1"/>
        <v>0.28958864215507829</v>
      </c>
    </row>
    <row r="9" spans="1:7" x14ac:dyDescent="0.25">
      <c r="A9" s="14" t="s">
        <v>102</v>
      </c>
      <c r="B9" s="16">
        <v>6144</v>
      </c>
      <c r="C9" s="16">
        <v>1656</v>
      </c>
      <c r="D9" s="16">
        <v>17</v>
      </c>
      <c r="E9" s="16">
        <v>487</v>
      </c>
      <c r="F9" s="16">
        <f t="shared" si="0"/>
        <v>1152</v>
      </c>
      <c r="G9" s="21">
        <f t="shared" si="1"/>
        <v>0.29408212560386471</v>
      </c>
    </row>
    <row r="10" spans="1:7" x14ac:dyDescent="0.25">
      <c r="A10" s="14" t="s">
        <v>48</v>
      </c>
      <c r="B10" s="16">
        <v>12942</v>
      </c>
      <c r="C10" s="16">
        <v>2537</v>
      </c>
      <c r="D10" s="16">
        <v>0</v>
      </c>
      <c r="E10" s="16">
        <v>1359</v>
      </c>
      <c r="F10" s="16">
        <f t="shared" si="0"/>
        <v>1178</v>
      </c>
      <c r="G10" s="21">
        <f t="shared" si="1"/>
        <v>0.53567205360662196</v>
      </c>
    </row>
    <row r="11" spans="1:7" x14ac:dyDescent="0.25">
      <c r="A11" s="14" t="s">
        <v>123</v>
      </c>
      <c r="B11" s="16">
        <v>2128</v>
      </c>
      <c r="C11" s="16">
        <v>1237</v>
      </c>
      <c r="D11" s="16">
        <v>107</v>
      </c>
      <c r="E11" s="16">
        <v>1018</v>
      </c>
      <c r="F11" s="16">
        <f t="shared" si="0"/>
        <v>112</v>
      </c>
      <c r="G11" s="21">
        <f t="shared" si="1"/>
        <v>0.82295877122069527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70"/>
  <sheetViews>
    <sheetView topLeftCell="A55" zoomScaleNormal="100" workbookViewId="0">
      <selection activeCell="D67" sqref="A1:S71"/>
    </sheetView>
  </sheetViews>
  <sheetFormatPr defaultColWidth="8.7109375" defaultRowHeight="15" x14ac:dyDescent="0.25"/>
  <cols>
    <col min="1" max="1" width="11.42578125" style="6" customWidth="1"/>
    <col min="2" max="2" width="4.42578125" style="6" customWidth="1"/>
    <col min="3" max="3" width="8.140625" style="6" customWidth="1"/>
    <col min="4" max="4" width="7.7109375" style="7" customWidth="1"/>
    <col min="5" max="5" width="5.7109375" style="7" customWidth="1"/>
    <col min="6" max="6" width="8.140625" style="6" customWidth="1"/>
    <col min="7" max="7" width="5.7109375" style="7" customWidth="1"/>
    <col min="8" max="8" width="6.7109375" style="7" customWidth="1"/>
    <col min="9" max="9" width="8.5703125" style="6" customWidth="1"/>
    <col min="10" max="10" width="5.7109375" style="7" customWidth="1"/>
    <col min="11" max="11" width="6.7109375" style="7" customWidth="1"/>
    <col min="12" max="12" width="6.42578125" style="8" customWidth="1"/>
    <col min="13" max="13" width="6.85546875" style="8" customWidth="1"/>
    <col min="14" max="14" width="6.42578125" style="9" customWidth="1"/>
    <col min="15" max="15" width="7.7109375" style="7" customWidth="1"/>
    <col min="16" max="16" width="5.85546875" style="7" customWidth="1"/>
    <col min="17" max="17" width="7.28515625" style="7" customWidth="1"/>
    <col min="18" max="18" width="7.5703125" style="7" customWidth="1"/>
    <col min="19" max="19" width="7.42578125" style="7" customWidth="1"/>
    <col min="20" max="16383" width="8.7109375" style="7"/>
    <col min="16384" max="16384" width="11.5703125" customWidth="1"/>
  </cols>
  <sheetData>
    <row r="1" spans="1:19" x14ac:dyDescent="0.25">
      <c r="A1" s="10" t="s">
        <v>5</v>
      </c>
      <c r="B1" s="10" t="s">
        <v>6</v>
      </c>
      <c r="C1" s="10" t="s">
        <v>7</v>
      </c>
      <c r="D1" s="11" t="s">
        <v>8</v>
      </c>
      <c r="E1" s="11" t="s">
        <v>9</v>
      </c>
      <c r="F1" s="10" t="s">
        <v>7</v>
      </c>
      <c r="G1" s="11" t="s">
        <v>9</v>
      </c>
      <c r="H1" s="11" t="s">
        <v>10</v>
      </c>
      <c r="I1" s="10" t="s">
        <v>11</v>
      </c>
      <c r="J1" s="11" t="s">
        <v>9</v>
      </c>
      <c r="K1" s="11" t="s">
        <v>10</v>
      </c>
      <c r="L1" s="12" t="s">
        <v>12</v>
      </c>
      <c r="M1" s="12" t="s">
        <v>13</v>
      </c>
      <c r="N1" s="13" t="s">
        <v>14</v>
      </c>
      <c r="O1" s="11" t="s">
        <v>15</v>
      </c>
      <c r="P1" s="11" t="s">
        <v>16</v>
      </c>
      <c r="Q1" s="11" t="s">
        <v>17</v>
      </c>
      <c r="R1" s="11" t="s">
        <v>18</v>
      </c>
      <c r="S1" s="11" t="s">
        <v>19</v>
      </c>
    </row>
    <row r="2" spans="1:19" x14ac:dyDescent="0.25">
      <c r="A2" s="14" t="s">
        <v>20</v>
      </c>
      <c r="B2" s="14" t="s">
        <v>21</v>
      </c>
      <c r="C2" s="14" t="s">
        <v>22</v>
      </c>
      <c r="D2" s="15">
        <v>3</v>
      </c>
      <c r="E2" s="15">
        <v>17</v>
      </c>
      <c r="F2" s="14" t="s">
        <v>22</v>
      </c>
      <c r="G2" s="15">
        <v>15</v>
      </c>
      <c r="H2" s="15">
        <v>3</v>
      </c>
      <c r="I2" s="14" t="s">
        <v>23</v>
      </c>
      <c r="J2" s="15">
        <v>6</v>
      </c>
      <c r="K2" s="15">
        <v>1</v>
      </c>
      <c r="L2" s="16">
        <v>7724</v>
      </c>
      <c r="M2" s="16">
        <v>1777</v>
      </c>
      <c r="N2" s="17">
        <f t="shared" ref="N2:N33" si="0">M2/L2</f>
        <v>0.23006214396685656</v>
      </c>
      <c r="O2" s="16">
        <v>221</v>
      </c>
      <c r="P2" s="16">
        <v>0</v>
      </c>
      <c r="Q2" s="18">
        <f t="shared" ref="Q2:Q12" si="1">O2/$M2</f>
        <v>0.12436691052335397</v>
      </c>
      <c r="R2" s="18">
        <f t="shared" ref="R2:R12" si="2">P2/$M2</f>
        <v>0</v>
      </c>
      <c r="S2" s="18">
        <f t="shared" ref="S2:S33" si="3">1-Q2-R2</f>
        <v>0.87563308947664598</v>
      </c>
    </row>
    <row r="3" spans="1:19" x14ac:dyDescent="0.25">
      <c r="A3" s="14" t="s">
        <v>24</v>
      </c>
      <c r="B3" s="14" t="s">
        <v>25</v>
      </c>
      <c r="C3" s="14" t="s">
        <v>22</v>
      </c>
      <c r="D3" s="15">
        <v>2</v>
      </c>
      <c r="E3" s="15">
        <v>8</v>
      </c>
      <c r="F3" s="14" t="s">
        <v>26</v>
      </c>
      <c r="G3" s="15">
        <v>0</v>
      </c>
      <c r="H3" s="15">
        <v>0</v>
      </c>
      <c r="I3" s="14" t="s">
        <v>26</v>
      </c>
      <c r="J3" s="15">
        <v>0</v>
      </c>
      <c r="K3" s="15">
        <v>0</v>
      </c>
      <c r="L3" s="16">
        <v>15412</v>
      </c>
      <c r="M3" s="16">
        <v>1006</v>
      </c>
      <c r="N3" s="17">
        <f t="shared" si="0"/>
        <v>6.527381261354788E-2</v>
      </c>
      <c r="O3" s="16">
        <v>0</v>
      </c>
      <c r="P3" s="16">
        <v>0</v>
      </c>
      <c r="Q3" s="18">
        <f t="shared" si="1"/>
        <v>0</v>
      </c>
      <c r="R3" s="18">
        <f t="shared" si="2"/>
        <v>0</v>
      </c>
      <c r="S3" s="18">
        <f t="shared" si="3"/>
        <v>1</v>
      </c>
    </row>
    <row r="4" spans="1:19" x14ac:dyDescent="0.25">
      <c r="A4" s="14" t="s">
        <v>27</v>
      </c>
      <c r="B4" s="14" t="s">
        <v>28</v>
      </c>
      <c r="C4" s="14" t="s">
        <v>22</v>
      </c>
      <c r="D4" s="15">
        <v>2</v>
      </c>
      <c r="E4" s="15">
        <v>25</v>
      </c>
      <c r="F4" s="14" t="s">
        <v>22</v>
      </c>
      <c r="G4" s="15">
        <v>8</v>
      </c>
      <c r="H4" s="15">
        <v>4</v>
      </c>
      <c r="I4" s="14" t="s">
        <v>23</v>
      </c>
      <c r="J4" s="15">
        <v>8</v>
      </c>
      <c r="K4" s="15">
        <v>2</v>
      </c>
      <c r="L4" s="16">
        <v>8524</v>
      </c>
      <c r="M4" s="16">
        <v>3719</v>
      </c>
      <c r="N4" s="17">
        <f t="shared" si="0"/>
        <v>0.43629751290473956</v>
      </c>
      <c r="O4" s="16">
        <v>315</v>
      </c>
      <c r="P4" s="16">
        <v>0</v>
      </c>
      <c r="Q4" s="18">
        <f t="shared" si="1"/>
        <v>8.4700188222640499E-2</v>
      </c>
      <c r="R4" s="18">
        <f t="shared" si="2"/>
        <v>0</v>
      </c>
      <c r="S4" s="18">
        <f t="shared" si="3"/>
        <v>0.91529981177735953</v>
      </c>
    </row>
    <row r="5" spans="1:19" x14ac:dyDescent="0.25">
      <c r="A5" s="14" t="s">
        <v>29</v>
      </c>
      <c r="B5" s="14" t="s">
        <v>30</v>
      </c>
      <c r="C5" s="14" t="s">
        <v>22</v>
      </c>
      <c r="D5" s="15">
        <v>4</v>
      </c>
      <c r="E5" s="15">
        <v>33</v>
      </c>
      <c r="F5" s="14" t="s">
        <v>22</v>
      </c>
      <c r="G5" s="15">
        <v>10</v>
      </c>
      <c r="H5" s="15">
        <v>6</v>
      </c>
      <c r="I5" s="14" t="s">
        <v>22</v>
      </c>
      <c r="J5" s="15">
        <v>11</v>
      </c>
      <c r="K5" s="15">
        <v>3</v>
      </c>
      <c r="L5" s="16">
        <v>23894</v>
      </c>
      <c r="M5" s="16">
        <v>8158</v>
      </c>
      <c r="N5" s="17">
        <f t="shared" si="0"/>
        <v>0.341424625428978</v>
      </c>
      <c r="O5" s="16">
        <v>166</v>
      </c>
      <c r="P5" s="16">
        <v>504</v>
      </c>
      <c r="Q5" s="18">
        <f t="shared" si="1"/>
        <v>2.0348124540328513E-2</v>
      </c>
      <c r="R5" s="18">
        <f t="shared" si="2"/>
        <v>6.1779848001961263E-2</v>
      </c>
      <c r="S5" s="18">
        <f t="shared" si="3"/>
        <v>0.91787202745771024</v>
      </c>
    </row>
    <row r="6" spans="1:19" x14ac:dyDescent="0.25">
      <c r="A6" s="14" t="s">
        <v>31</v>
      </c>
      <c r="B6" s="14" t="s">
        <v>32</v>
      </c>
      <c r="C6" s="14" t="s">
        <v>22</v>
      </c>
      <c r="D6" s="15">
        <v>6</v>
      </c>
      <c r="E6" s="15">
        <v>37</v>
      </c>
      <c r="F6" s="14" t="s">
        <v>22</v>
      </c>
      <c r="G6" s="15">
        <v>3</v>
      </c>
      <c r="H6" s="15">
        <v>6</v>
      </c>
      <c r="I6" s="14" t="s">
        <v>22</v>
      </c>
      <c r="J6" s="15">
        <v>7</v>
      </c>
      <c r="K6" s="15">
        <v>6</v>
      </c>
      <c r="L6" s="16">
        <v>21034</v>
      </c>
      <c r="M6" s="16">
        <v>7907</v>
      </c>
      <c r="N6" s="17">
        <f t="shared" si="0"/>
        <v>0.37591518493867071</v>
      </c>
      <c r="O6" s="16">
        <v>480</v>
      </c>
      <c r="P6" s="16">
        <v>0</v>
      </c>
      <c r="Q6" s="18">
        <f t="shared" si="1"/>
        <v>6.0705703806753511E-2</v>
      </c>
      <c r="R6" s="18">
        <f t="shared" si="2"/>
        <v>0</v>
      </c>
      <c r="S6" s="18">
        <f t="shared" si="3"/>
        <v>0.93929429619324645</v>
      </c>
    </row>
    <row r="7" spans="1:19" x14ac:dyDescent="0.25">
      <c r="A7" s="14" t="s">
        <v>33</v>
      </c>
      <c r="B7" s="14" t="s">
        <v>34</v>
      </c>
      <c r="C7" s="14" t="s">
        <v>22</v>
      </c>
      <c r="D7" s="15">
        <v>1</v>
      </c>
      <c r="E7" s="15">
        <v>2</v>
      </c>
      <c r="F7" s="14" t="s">
        <v>26</v>
      </c>
      <c r="G7" s="15">
        <v>0</v>
      </c>
      <c r="H7" s="15">
        <v>0</v>
      </c>
      <c r="I7" s="14" t="s">
        <v>26</v>
      </c>
      <c r="J7" s="15">
        <v>0</v>
      </c>
      <c r="K7" s="15">
        <v>0</v>
      </c>
      <c r="L7" s="16">
        <v>2679</v>
      </c>
      <c r="M7" s="16">
        <v>817</v>
      </c>
      <c r="N7" s="17">
        <f t="shared" si="0"/>
        <v>0.30496453900709219</v>
      </c>
      <c r="O7" s="16">
        <v>0</v>
      </c>
      <c r="P7" s="16">
        <v>0</v>
      </c>
      <c r="Q7" s="18">
        <f t="shared" si="1"/>
        <v>0</v>
      </c>
      <c r="R7" s="18">
        <f t="shared" si="2"/>
        <v>0</v>
      </c>
      <c r="S7" s="18">
        <f t="shared" si="3"/>
        <v>1</v>
      </c>
    </row>
    <row r="8" spans="1:19" x14ac:dyDescent="0.25">
      <c r="A8" s="14" t="s">
        <v>35</v>
      </c>
      <c r="B8" s="14" t="s">
        <v>36</v>
      </c>
      <c r="C8" s="14" t="s">
        <v>22</v>
      </c>
      <c r="D8" s="15">
        <v>1</v>
      </c>
      <c r="E8" s="15">
        <v>22</v>
      </c>
      <c r="F8" s="14" t="s">
        <v>22</v>
      </c>
      <c r="G8" s="15">
        <v>28</v>
      </c>
      <c r="H8" s="15">
        <v>5</v>
      </c>
      <c r="I8" s="14" t="s">
        <v>23</v>
      </c>
      <c r="J8" s="15">
        <v>13</v>
      </c>
      <c r="K8" s="15">
        <v>3</v>
      </c>
      <c r="L8" s="16">
        <v>29457</v>
      </c>
      <c r="M8" s="16">
        <v>3214</v>
      </c>
      <c r="N8" s="17">
        <f t="shared" si="0"/>
        <v>0.10910819160131717</v>
      </c>
      <c r="O8" s="16">
        <v>1015</v>
      </c>
      <c r="P8" s="16">
        <v>0</v>
      </c>
      <c r="Q8" s="18">
        <f t="shared" si="1"/>
        <v>0.31580584940883633</v>
      </c>
      <c r="R8" s="18">
        <f t="shared" si="2"/>
        <v>0</v>
      </c>
      <c r="S8" s="18">
        <f t="shared" si="3"/>
        <v>0.68419415059116373</v>
      </c>
    </row>
    <row r="9" spans="1:19" x14ac:dyDescent="0.25">
      <c r="A9" s="14" t="s">
        <v>37</v>
      </c>
      <c r="B9" s="14" t="s">
        <v>38</v>
      </c>
      <c r="C9" s="14" t="s">
        <v>22</v>
      </c>
      <c r="D9" s="15">
        <v>2</v>
      </c>
      <c r="E9" s="15">
        <v>29</v>
      </c>
      <c r="F9" s="14" t="s">
        <v>22</v>
      </c>
      <c r="G9" s="15">
        <v>17</v>
      </c>
      <c r="H9" s="15">
        <v>7</v>
      </c>
      <c r="I9" s="14" t="s">
        <v>39</v>
      </c>
      <c r="J9" s="15">
        <v>13</v>
      </c>
      <c r="K9" s="15">
        <v>6</v>
      </c>
      <c r="L9" s="16">
        <v>27780</v>
      </c>
      <c r="M9" s="16">
        <v>5327</v>
      </c>
      <c r="N9" s="17">
        <f t="shared" si="0"/>
        <v>0.19175665946724263</v>
      </c>
      <c r="O9" s="16">
        <v>363</v>
      </c>
      <c r="P9" s="16">
        <v>0</v>
      </c>
      <c r="Q9" s="18">
        <f t="shared" si="1"/>
        <v>6.8143420311620045E-2</v>
      </c>
      <c r="R9" s="18">
        <f t="shared" si="2"/>
        <v>0</v>
      </c>
      <c r="S9" s="18">
        <f t="shared" si="3"/>
        <v>0.93185657968837998</v>
      </c>
    </row>
    <row r="10" spans="1:19" x14ac:dyDescent="0.25">
      <c r="A10" s="14" t="s">
        <v>40</v>
      </c>
      <c r="B10" s="14" t="s">
        <v>38</v>
      </c>
      <c r="C10" s="14" t="s">
        <v>22</v>
      </c>
      <c r="D10" s="15">
        <v>2</v>
      </c>
      <c r="E10" s="15">
        <v>9</v>
      </c>
      <c r="F10" s="14" t="s">
        <v>22</v>
      </c>
      <c r="G10" s="15">
        <v>10</v>
      </c>
      <c r="H10" s="15">
        <v>2</v>
      </c>
      <c r="I10" s="14" t="s">
        <v>23</v>
      </c>
      <c r="J10" s="15">
        <v>9</v>
      </c>
      <c r="K10" s="15">
        <v>2</v>
      </c>
      <c r="L10" s="16">
        <v>4450</v>
      </c>
      <c r="M10" s="16">
        <v>832</v>
      </c>
      <c r="N10" s="17">
        <f t="shared" si="0"/>
        <v>0.18696629213483146</v>
      </c>
      <c r="O10" s="16">
        <v>180</v>
      </c>
      <c r="P10" s="16">
        <v>0</v>
      </c>
      <c r="Q10" s="18">
        <f t="shared" si="1"/>
        <v>0.21634615384615385</v>
      </c>
      <c r="R10" s="18">
        <f t="shared" si="2"/>
        <v>0</v>
      </c>
      <c r="S10" s="18">
        <f t="shared" si="3"/>
        <v>0.78365384615384615</v>
      </c>
    </row>
    <row r="11" spans="1:19" x14ac:dyDescent="0.25">
      <c r="A11" s="14" t="s">
        <v>41</v>
      </c>
      <c r="B11" s="14" t="s">
        <v>42</v>
      </c>
      <c r="C11" s="14" t="s">
        <v>22</v>
      </c>
      <c r="D11" s="15">
        <v>1</v>
      </c>
      <c r="E11" s="15">
        <v>13</v>
      </c>
      <c r="F11" s="14" t="s">
        <v>22</v>
      </c>
      <c r="G11" s="15">
        <v>10</v>
      </c>
      <c r="H11" s="15">
        <v>1</v>
      </c>
      <c r="I11" s="14" t="s">
        <v>22</v>
      </c>
      <c r="J11" s="15">
        <v>6</v>
      </c>
      <c r="K11" s="15">
        <v>1</v>
      </c>
      <c r="L11" s="16">
        <v>2907</v>
      </c>
      <c r="M11" s="16">
        <v>1077</v>
      </c>
      <c r="N11" s="17">
        <f t="shared" si="0"/>
        <v>0.37048503611971106</v>
      </c>
      <c r="O11" s="16">
        <v>33</v>
      </c>
      <c r="P11" s="16">
        <v>64</v>
      </c>
      <c r="Q11" s="18">
        <f t="shared" si="1"/>
        <v>3.0640668523676879E-2</v>
      </c>
      <c r="R11" s="18">
        <f t="shared" si="2"/>
        <v>5.9424326833797586E-2</v>
      </c>
      <c r="S11" s="18">
        <f t="shared" si="3"/>
        <v>0.90993500464252552</v>
      </c>
    </row>
    <row r="12" spans="1:19" x14ac:dyDescent="0.25">
      <c r="A12" s="14" t="s">
        <v>43</v>
      </c>
      <c r="B12" s="14" t="s">
        <v>44</v>
      </c>
      <c r="C12" s="14" t="s">
        <v>22</v>
      </c>
      <c r="D12" s="15">
        <v>5</v>
      </c>
      <c r="E12" s="15">
        <v>29</v>
      </c>
      <c r="F12" s="14" t="s">
        <v>26</v>
      </c>
      <c r="G12" s="15">
        <v>0</v>
      </c>
      <c r="H12" s="15">
        <v>0</v>
      </c>
      <c r="I12" s="14" t="s">
        <v>26</v>
      </c>
      <c r="J12" s="15">
        <v>0</v>
      </c>
      <c r="K12" s="15">
        <v>0</v>
      </c>
      <c r="L12" s="16">
        <v>14135</v>
      </c>
      <c r="M12" s="16">
        <v>4239</v>
      </c>
      <c r="N12" s="17">
        <f t="shared" si="0"/>
        <v>0.29989388043862752</v>
      </c>
      <c r="O12" s="16">
        <v>0</v>
      </c>
      <c r="P12" s="16">
        <v>0</v>
      </c>
      <c r="Q12" s="18">
        <f t="shared" si="1"/>
        <v>0</v>
      </c>
      <c r="R12" s="18">
        <f t="shared" si="2"/>
        <v>0</v>
      </c>
      <c r="S12" s="18">
        <f t="shared" si="3"/>
        <v>1</v>
      </c>
    </row>
    <row r="13" spans="1:19" x14ac:dyDescent="0.25">
      <c r="A13" s="14" t="s">
        <v>45</v>
      </c>
      <c r="B13" s="14" t="s">
        <v>21</v>
      </c>
      <c r="C13" s="14" t="s">
        <v>26</v>
      </c>
      <c r="D13" s="15">
        <v>0</v>
      </c>
      <c r="E13" s="15">
        <v>0</v>
      </c>
      <c r="F13" s="14" t="s">
        <v>26</v>
      </c>
      <c r="G13" s="15">
        <v>0</v>
      </c>
      <c r="H13" s="15">
        <v>0</v>
      </c>
      <c r="I13" s="14" t="s">
        <v>26</v>
      </c>
      <c r="J13" s="15">
        <v>0</v>
      </c>
      <c r="K13" s="15">
        <v>0</v>
      </c>
      <c r="L13" s="16">
        <v>2889</v>
      </c>
      <c r="M13" s="16">
        <v>0</v>
      </c>
      <c r="N13" s="17">
        <f t="shared" si="0"/>
        <v>0</v>
      </c>
      <c r="O13" s="16">
        <v>0</v>
      </c>
      <c r="P13" s="16">
        <v>0</v>
      </c>
      <c r="Q13" s="18">
        <v>0</v>
      </c>
      <c r="R13" s="18">
        <v>0</v>
      </c>
      <c r="S13" s="18">
        <f t="shared" si="3"/>
        <v>1</v>
      </c>
    </row>
    <row r="14" spans="1:19" x14ac:dyDescent="0.25">
      <c r="A14" s="14" t="s">
        <v>46</v>
      </c>
      <c r="B14" s="14" t="s">
        <v>47</v>
      </c>
      <c r="C14" s="14" t="s">
        <v>22</v>
      </c>
      <c r="D14" s="15">
        <v>1</v>
      </c>
      <c r="E14" s="15">
        <v>5</v>
      </c>
      <c r="F14" s="14" t="s">
        <v>26</v>
      </c>
      <c r="G14" s="15">
        <v>0</v>
      </c>
      <c r="H14" s="15">
        <v>0</v>
      </c>
      <c r="I14" s="14" t="s">
        <v>26</v>
      </c>
      <c r="J14" s="15">
        <v>0</v>
      </c>
      <c r="K14" s="15">
        <v>0</v>
      </c>
      <c r="L14" s="16">
        <v>3995</v>
      </c>
      <c r="M14" s="16">
        <v>1002</v>
      </c>
      <c r="N14" s="17">
        <f t="shared" si="0"/>
        <v>0.25081351689612014</v>
      </c>
      <c r="O14" s="16">
        <v>0</v>
      </c>
      <c r="P14" s="16">
        <v>0</v>
      </c>
      <c r="Q14" s="18">
        <f t="shared" ref="Q14:Q45" si="4">O14/$M14</f>
        <v>0</v>
      </c>
      <c r="R14" s="18">
        <f t="shared" ref="R14:R45" si="5">P14/$M14</f>
        <v>0</v>
      </c>
      <c r="S14" s="18">
        <f t="shared" si="3"/>
        <v>1</v>
      </c>
    </row>
    <row r="15" spans="1:19" x14ac:dyDescent="0.25">
      <c r="A15" s="14" t="s">
        <v>48</v>
      </c>
      <c r="B15" s="14" t="s">
        <v>49</v>
      </c>
      <c r="C15" s="14" t="s">
        <v>22</v>
      </c>
      <c r="D15" s="15">
        <v>3</v>
      </c>
      <c r="E15" s="15">
        <v>8</v>
      </c>
      <c r="F15" s="14" t="s">
        <v>22</v>
      </c>
      <c r="G15" s="15">
        <v>7</v>
      </c>
      <c r="H15" s="15">
        <v>4</v>
      </c>
      <c r="I15" s="14" t="s">
        <v>22</v>
      </c>
      <c r="J15" s="15">
        <v>8</v>
      </c>
      <c r="K15" s="15">
        <v>4</v>
      </c>
      <c r="L15" s="16">
        <v>12942</v>
      </c>
      <c r="M15" s="16">
        <v>2537</v>
      </c>
      <c r="N15" s="17">
        <f t="shared" si="0"/>
        <v>0.19602843455416474</v>
      </c>
      <c r="O15" s="16">
        <v>0</v>
      </c>
      <c r="P15" s="16">
        <v>1359</v>
      </c>
      <c r="Q15" s="18">
        <f t="shared" si="4"/>
        <v>0</v>
      </c>
      <c r="R15" s="18">
        <f t="shared" si="5"/>
        <v>0.53567205360662196</v>
      </c>
      <c r="S15" s="18">
        <f t="shared" si="3"/>
        <v>0.46432794639337804</v>
      </c>
    </row>
    <row r="16" spans="1:19" x14ac:dyDescent="0.25">
      <c r="A16" s="14" t="s">
        <v>50</v>
      </c>
      <c r="B16" s="14" t="s">
        <v>51</v>
      </c>
      <c r="C16" s="14" t="s">
        <v>22</v>
      </c>
      <c r="D16" s="15">
        <v>3</v>
      </c>
      <c r="E16" s="15">
        <v>31</v>
      </c>
      <c r="F16" s="14" t="s">
        <v>22</v>
      </c>
      <c r="G16" s="15">
        <v>26</v>
      </c>
      <c r="H16" s="15">
        <v>6</v>
      </c>
      <c r="I16" s="14" t="s">
        <v>22</v>
      </c>
      <c r="J16" s="15">
        <v>25</v>
      </c>
      <c r="K16" s="15">
        <v>2</v>
      </c>
      <c r="L16" s="16">
        <v>22847</v>
      </c>
      <c r="M16" s="16">
        <v>6330</v>
      </c>
      <c r="N16" s="17">
        <f t="shared" si="0"/>
        <v>0.27706044557272291</v>
      </c>
      <c r="O16" s="16">
        <v>139</v>
      </c>
      <c r="P16" s="16">
        <v>1157</v>
      </c>
      <c r="Q16" s="18">
        <f t="shared" si="4"/>
        <v>2.1958925750394945E-2</v>
      </c>
      <c r="R16" s="18">
        <f t="shared" si="5"/>
        <v>0.18278041074249604</v>
      </c>
      <c r="S16" s="18">
        <f t="shared" si="3"/>
        <v>0.795260663507109</v>
      </c>
    </row>
    <row r="17" spans="1:19" x14ac:dyDescent="0.25">
      <c r="A17" s="14" t="s">
        <v>52</v>
      </c>
      <c r="B17" s="14" t="s">
        <v>53</v>
      </c>
      <c r="C17" s="14" t="s">
        <v>22</v>
      </c>
      <c r="D17" s="15">
        <v>5</v>
      </c>
      <c r="E17" s="15">
        <v>32</v>
      </c>
      <c r="F17" s="14" t="s">
        <v>22</v>
      </c>
      <c r="G17" s="15">
        <v>20</v>
      </c>
      <c r="H17" s="15">
        <v>2</v>
      </c>
      <c r="I17" s="14" t="s">
        <v>22</v>
      </c>
      <c r="J17" s="15">
        <v>12</v>
      </c>
      <c r="K17" s="15">
        <v>2</v>
      </c>
      <c r="L17" s="16">
        <v>43774</v>
      </c>
      <c r="M17" s="16">
        <v>8006</v>
      </c>
      <c r="N17" s="17">
        <f t="shared" si="0"/>
        <v>0.18289395531594096</v>
      </c>
      <c r="O17" s="16">
        <v>138</v>
      </c>
      <c r="P17" s="16">
        <v>1690</v>
      </c>
      <c r="Q17" s="18">
        <f t="shared" si="4"/>
        <v>1.7237072195853111E-2</v>
      </c>
      <c r="R17" s="18">
        <f t="shared" si="5"/>
        <v>0.21109168123907068</v>
      </c>
      <c r="S17" s="18">
        <f t="shared" si="3"/>
        <v>0.77167124656507613</v>
      </c>
    </row>
    <row r="18" spans="1:19" x14ac:dyDescent="0.25">
      <c r="A18" s="14" t="s">
        <v>54</v>
      </c>
      <c r="B18" s="14" t="s">
        <v>55</v>
      </c>
      <c r="C18" s="14" t="s">
        <v>22</v>
      </c>
      <c r="D18" s="15">
        <v>5</v>
      </c>
      <c r="E18" s="15">
        <v>31</v>
      </c>
      <c r="F18" s="14" t="s">
        <v>26</v>
      </c>
      <c r="G18" s="15">
        <v>0</v>
      </c>
      <c r="H18" s="15">
        <v>0</v>
      </c>
      <c r="I18" s="14" t="s">
        <v>26</v>
      </c>
      <c r="J18" s="15">
        <v>0</v>
      </c>
      <c r="K18" s="15">
        <v>0</v>
      </c>
      <c r="L18" s="16">
        <v>6038</v>
      </c>
      <c r="M18" s="16">
        <v>2239</v>
      </c>
      <c r="N18" s="17">
        <f t="shared" si="0"/>
        <v>0.37081815170586285</v>
      </c>
      <c r="O18" s="16">
        <v>0</v>
      </c>
      <c r="P18" s="16">
        <v>0</v>
      </c>
      <c r="Q18" s="18">
        <f t="shared" si="4"/>
        <v>0</v>
      </c>
      <c r="R18" s="18">
        <f t="shared" si="5"/>
        <v>0</v>
      </c>
      <c r="S18" s="18">
        <f t="shared" si="3"/>
        <v>1</v>
      </c>
    </row>
    <row r="19" spans="1:19" x14ac:dyDescent="0.25">
      <c r="A19" s="14" t="s">
        <v>56</v>
      </c>
      <c r="B19" s="14" t="s">
        <v>42</v>
      </c>
      <c r="C19" s="14" t="s">
        <v>22</v>
      </c>
      <c r="D19" s="15">
        <v>2</v>
      </c>
      <c r="E19" s="15">
        <v>28</v>
      </c>
      <c r="F19" s="14" t="s">
        <v>22</v>
      </c>
      <c r="G19" s="15">
        <v>6</v>
      </c>
      <c r="H19" s="15">
        <v>3</v>
      </c>
      <c r="I19" s="14" t="s">
        <v>22</v>
      </c>
      <c r="J19" s="15">
        <v>5</v>
      </c>
      <c r="K19" s="15">
        <v>1</v>
      </c>
      <c r="L19" s="16">
        <v>17877</v>
      </c>
      <c r="M19" s="16">
        <v>3610</v>
      </c>
      <c r="N19" s="17">
        <f t="shared" si="0"/>
        <v>0.20193544778206635</v>
      </c>
      <c r="O19" s="16">
        <v>13</v>
      </c>
      <c r="P19" s="16">
        <v>50</v>
      </c>
      <c r="Q19" s="18">
        <f t="shared" si="4"/>
        <v>3.6011080332409972E-3</v>
      </c>
      <c r="R19" s="18">
        <f t="shared" si="5"/>
        <v>1.3850415512465374E-2</v>
      </c>
      <c r="S19" s="18">
        <f t="shared" si="3"/>
        <v>0.98254847645429366</v>
      </c>
    </row>
    <row r="20" spans="1:19" x14ac:dyDescent="0.25">
      <c r="A20" s="14" t="s">
        <v>57</v>
      </c>
      <c r="B20" s="14" t="s">
        <v>58</v>
      </c>
      <c r="C20" s="14" t="s">
        <v>22</v>
      </c>
      <c r="D20" s="15">
        <v>1</v>
      </c>
      <c r="E20" s="15">
        <v>14</v>
      </c>
      <c r="F20" s="14" t="s">
        <v>22</v>
      </c>
      <c r="G20" s="15">
        <v>11</v>
      </c>
      <c r="H20" s="15">
        <v>4</v>
      </c>
      <c r="I20" s="14" t="s">
        <v>59</v>
      </c>
      <c r="J20" s="15">
        <v>10</v>
      </c>
      <c r="K20" s="15">
        <v>3</v>
      </c>
      <c r="L20" s="16">
        <v>6076</v>
      </c>
      <c r="M20" s="16">
        <v>1590</v>
      </c>
      <c r="N20" s="17">
        <f t="shared" si="0"/>
        <v>0.2616853192890059</v>
      </c>
      <c r="O20" s="16">
        <v>251</v>
      </c>
      <c r="P20" s="16">
        <v>0</v>
      </c>
      <c r="Q20" s="18">
        <f t="shared" si="4"/>
        <v>0.15786163522012578</v>
      </c>
      <c r="R20" s="18">
        <f t="shared" si="5"/>
        <v>0</v>
      </c>
      <c r="S20" s="18">
        <f t="shared" si="3"/>
        <v>0.84213836477987425</v>
      </c>
    </row>
    <row r="21" spans="1:19" x14ac:dyDescent="0.25">
      <c r="A21" s="14" t="s">
        <v>60</v>
      </c>
      <c r="B21" s="14" t="s">
        <v>42</v>
      </c>
      <c r="C21" s="14" t="s">
        <v>22</v>
      </c>
      <c r="D21" s="15">
        <v>1</v>
      </c>
      <c r="E21" s="15">
        <v>10</v>
      </c>
      <c r="F21" s="14" t="s">
        <v>26</v>
      </c>
      <c r="G21" s="15">
        <v>0</v>
      </c>
      <c r="H21" s="15">
        <v>0</v>
      </c>
      <c r="I21" s="14" t="s">
        <v>26</v>
      </c>
      <c r="J21" s="15">
        <v>0</v>
      </c>
      <c r="K21" s="15">
        <v>0</v>
      </c>
      <c r="L21" s="16">
        <v>3045</v>
      </c>
      <c r="M21" s="16">
        <v>558</v>
      </c>
      <c r="N21" s="17">
        <f t="shared" si="0"/>
        <v>0.18325123152709361</v>
      </c>
      <c r="O21" s="16">
        <v>0</v>
      </c>
      <c r="P21" s="16">
        <v>0</v>
      </c>
      <c r="Q21" s="18">
        <f t="shared" si="4"/>
        <v>0</v>
      </c>
      <c r="R21" s="18">
        <f t="shared" si="5"/>
        <v>0</v>
      </c>
      <c r="S21" s="18">
        <f t="shared" si="3"/>
        <v>1</v>
      </c>
    </row>
    <row r="22" spans="1:19" x14ac:dyDescent="0.25">
      <c r="A22" s="14" t="s">
        <v>61</v>
      </c>
      <c r="B22" s="14" t="s">
        <v>62</v>
      </c>
      <c r="C22" s="14" t="s">
        <v>22</v>
      </c>
      <c r="D22" s="15">
        <v>1</v>
      </c>
      <c r="E22" s="15">
        <v>20</v>
      </c>
      <c r="F22" s="14" t="s">
        <v>22</v>
      </c>
      <c r="G22" s="15">
        <v>30</v>
      </c>
      <c r="H22" s="15">
        <v>6</v>
      </c>
      <c r="I22" s="14" t="s">
        <v>22</v>
      </c>
      <c r="J22" s="15">
        <v>20</v>
      </c>
      <c r="K22" s="15">
        <v>6</v>
      </c>
      <c r="L22" s="16">
        <v>19145</v>
      </c>
      <c r="M22" s="16">
        <v>2724</v>
      </c>
      <c r="N22" s="17">
        <f t="shared" si="0"/>
        <v>0.14228258030817445</v>
      </c>
      <c r="O22" s="16">
        <v>128</v>
      </c>
      <c r="P22" s="16">
        <v>731</v>
      </c>
      <c r="Q22" s="18">
        <f t="shared" si="4"/>
        <v>4.6989720998531569E-2</v>
      </c>
      <c r="R22" s="18">
        <f t="shared" si="5"/>
        <v>0.26835535976505137</v>
      </c>
      <c r="S22" s="18">
        <f t="shared" si="3"/>
        <v>0.68465491923641708</v>
      </c>
    </row>
    <row r="23" spans="1:19" x14ac:dyDescent="0.25">
      <c r="A23" s="14" t="s">
        <v>63</v>
      </c>
      <c r="B23" s="14" t="s">
        <v>62</v>
      </c>
      <c r="C23" s="14" t="s">
        <v>22</v>
      </c>
      <c r="D23" s="15">
        <v>1</v>
      </c>
      <c r="E23" s="15">
        <v>9</v>
      </c>
      <c r="F23" s="14" t="s">
        <v>22</v>
      </c>
      <c r="G23" s="15">
        <v>10</v>
      </c>
      <c r="H23" s="15">
        <v>2</v>
      </c>
      <c r="I23" s="14" t="s">
        <v>22</v>
      </c>
      <c r="J23" s="15">
        <v>5</v>
      </c>
      <c r="K23" s="15">
        <v>1</v>
      </c>
      <c r="L23" s="16">
        <v>9196</v>
      </c>
      <c r="M23" s="16">
        <v>1308</v>
      </c>
      <c r="N23" s="17">
        <f t="shared" si="0"/>
        <v>0.14223575467594607</v>
      </c>
      <c r="O23" s="16">
        <v>88</v>
      </c>
      <c r="P23" s="16">
        <v>138</v>
      </c>
      <c r="Q23" s="18">
        <f t="shared" si="4"/>
        <v>6.7278287461773695E-2</v>
      </c>
      <c r="R23" s="18">
        <f t="shared" si="5"/>
        <v>0.10550458715596331</v>
      </c>
      <c r="S23" s="18">
        <f t="shared" si="3"/>
        <v>0.827217125382263</v>
      </c>
    </row>
    <row r="24" spans="1:19" x14ac:dyDescent="0.25">
      <c r="A24" s="14" t="s">
        <v>64</v>
      </c>
      <c r="B24" s="14" t="s">
        <v>65</v>
      </c>
      <c r="C24" s="14" t="s">
        <v>22</v>
      </c>
      <c r="D24" s="15">
        <v>8</v>
      </c>
      <c r="E24" s="15">
        <v>41</v>
      </c>
      <c r="F24" s="14" t="s">
        <v>22</v>
      </c>
      <c r="G24" s="15">
        <v>33</v>
      </c>
      <c r="H24" s="15">
        <v>10</v>
      </c>
      <c r="I24" s="14" t="s">
        <v>22</v>
      </c>
      <c r="J24" s="15">
        <v>19</v>
      </c>
      <c r="K24" s="15">
        <v>4</v>
      </c>
      <c r="L24" s="16">
        <v>37212</v>
      </c>
      <c r="M24" s="16">
        <v>16586</v>
      </c>
      <c r="N24" s="17">
        <f t="shared" si="0"/>
        <v>0.445716435558422</v>
      </c>
      <c r="O24" s="16">
        <v>2395</v>
      </c>
      <c r="P24" s="16">
        <v>1825</v>
      </c>
      <c r="Q24" s="18">
        <f t="shared" si="4"/>
        <v>0.14439889063065237</v>
      </c>
      <c r="R24" s="18">
        <f t="shared" si="5"/>
        <v>0.11003255757868081</v>
      </c>
      <c r="S24" s="18">
        <f t="shared" si="3"/>
        <v>0.74556855179066683</v>
      </c>
    </row>
    <row r="25" spans="1:19" x14ac:dyDescent="0.25">
      <c r="A25" s="14" t="s">
        <v>66</v>
      </c>
      <c r="B25" s="14" t="s">
        <v>62</v>
      </c>
      <c r="C25" s="14" t="s">
        <v>22</v>
      </c>
      <c r="D25" s="15">
        <v>1</v>
      </c>
      <c r="E25" s="15">
        <v>20</v>
      </c>
      <c r="F25" s="14" t="s">
        <v>22</v>
      </c>
      <c r="G25" s="15">
        <v>3</v>
      </c>
      <c r="H25" s="15">
        <v>2</v>
      </c>
      <c r="I25" s="14" t="s">
        <v>67</v>
      </c>
      <c r="J25" s="15">
        <v>1</v>
      </c>
      <c r="K25" s="15">
        <v>2</v>
      </c>
      <c r="L25" s="16">
        <v>33909</v>
      </c>
      <c r="M25" s="16">
        <v>4901</v>
      </c>
      <c r="N25" s="17">
        <f t="shared" si="0"/>
        <v>0.14453389955469048</v>
      </c>
      <c r="O25" s="16">
        <v>16</v>
      </c>
      <c r="P25" s="16">
        <v>0</v>
      </c>
      <c r="Q25" s="18">
        <f t="shared" si="4"/>
        <v>3.2646398694144052E-3</v>
      </c>
      <c r="R25" s="18">
        <f t="shared" si="5"/>
        <v>0</v>
      </c>
      <c r="S25" s="18">
        <f t="shared" si="3"/>
        <v>0.99673536013058561</v>
      </c>
    </row>
    <row r="26" spans="1:19" x14ac:dyDescent="0.25">
      <c r="A26" s="14" t="s">
        <v>68</v>
      </c>
      <c r="B26" s="14" t="s">
        <v>58</v>
      </c>
      <c r="C26" s="14" t="s">
        <v>22</v>
      </c>
      <c r="D26" s="15">
        <v>9</v>
      </c>
      <c r="E26" s="15">
        <v>50</v>
      </c>
      <c r="F26" s="14" t="s">
        <v>22</v>
      </c>
      <c r="G26" s="15">
        <v>15</v>
      </c>
      <c r="H26" s="15">
        <v>3</v>
      </c>
      <c r="I26" s="14" t="s">
        <v>23</v>
      </c>
      <c r="J26" s="15">
        <v>15</v>
      </c>
      <c r="K26" s="15">
        <v>3</v>
      </c>
      <c r="L26" s="16">
        <v>26636</v>
      </c>
      <c r="M26" s="16">
        <v>6916</v>
      </c>
      <c r="N26" s="17">
        <f t="shared" si="0"/>
        <v>0.25964859588526806</v>
      </c>
      <c r="O26" s="16">
        <v>1748</v>
      </c>
      <c r="P26" s="16">
        <v>0</v>
      </c>
      <c r="Q26" s="18">
        <f t="shared" si="4"/>
        <v>0.25274725274725274</v>
      </c>
      <c r="R26" s="18">
        <f t="shared" si="5"/>
        <v>0</v>
      </c>
      <c r="S26" s="18">
        <f t="shared" si="3"/>
        <v>0.74725274725274726</v>
      </c>
    </row>
    <row r="27" spans="1:19" x14ac:dyDescent="0.25">
      <c r="A27" s="14" t="s">
        <v>69</v>
      </c>
      <c r="B27" s="14" t="s">
        <v>70</v>
      </c>
      <c r="C27" s="14" t="s">
        <v>22</v>
      </c>
      <c r="D27" s="15">
        <v>4</v>
      </c>
      <c r="E27" s="15">
        <v>30</v>
      </c>
      <c r="F27" s="14" t="s">
        <v>22</v>
      </c>
      <c r="G27" s="15">
        <v>21</v>
      </c>
      <c r="H27" s="15">
        <v>6</v>
      </c>
      <c r="I27" s="14" t="s">
        <v>22</v>
      </c>
      <c r="J27" s="15">
        <v>12</v>
      </c>
      <c r="K27" s="15">
        <v>3</v>
      </c>
      <c r="L27" s="16">
        <v>15397</v>
      </c>
      <c r="M27" s="16">
        <v>2809</v>
      </c>
      <c r="N27" s="17">
        <f t="shared" si="0"/>
        <v>0.18243813729947392</v>
      </c>
      <c r="O27" s="16">
        <v>70</v>
      </c>
      <c r="P27" s="16">
        <v>583</v>
      </c>
      <c r="Q27" s="18">
        <f t="shared" si="4"/>
        <v>2.491990032039872E-2</v>
      </c>
      <c r="R27" s="18">
        <f t="shared" si="5"/>
        <v>0.20754716981132076</v>
      </c>
      <c r="S27" s="18">
        <f t="shared" si="3"/>
        <v>0.76753292986828048</v>
      </c>
    </row>
    <row r="28" spans="1:19" x14ac:dyDescent="0.25">
      <c r="A28" s="14" t="s">
        <v>71</v>
      </c>
      <c r="B28" s="14" t="s">
        <v>72</v>
      </c>
      <c r="C28" s="14" t="s">
        <v>22</v>
      </c>
      <c r="D28" s="15">
        <v>2</v>
      </c>
      <c r="E28" s="15">
        <v>12</v>
      </c>
      <c r="F28" s="14" t="s">
        <v>26</v>
      </c>
      <c r="G28" s="15">
        <v>0</v>
      </c>
      <c r="H28" s="15">
        <v>0</v>
      </c>
      <c r="I28" s="14" t="s">
        <v>26</v>
      </c>
      <c r="J28" s="15">
        <v>0</v>
      </c>
      <c r="K28" s="15">
        <v>0</v>
      </c>
      <c r="L28" s="16">
        <v>3432</v>
      </c>
      <c r="M28" s="16">
        <v>1917</v>
      </c>
      <c r="N28" s="17">
        <f t="shared" si="0"/>
        <v>0.55856643356643354</v>
      </c>
      <c r="O28" s="16">
        <v>0</v>
      </c>
      <c r="P28" s="16">
        <v>0</v>
      </c>
      <c r="Q28" s="18">
        <f t="shared" si="4"/>
        <v>0</v>
      </c>
      <c r="R28" s="18">
        <f t="shared" si="5"/>
        <v>0</v>
      </c>
      <c r="S28" s="18">
        <f t="shared" si="3"/>
        <v>1</v>
      </c>
    </row>
    <row r="29" spans="1:19" x14ac:dyDescent="0.25">
      <c r="A29" s="14" t="s">
        <v>73</v>
      </c>
      <c r="B29" s="14" t="s">
        <v>36</v>
      </c>
      <c r="C29" s="14" t="s">
        <v>22</v>
      </c>
      <c r="D29" s="15">
        <v>2</v>
      </c>
      <c r="E29" s="15">
        <v>7</v>
      </c>
      <c r="F29" s="14" t="s">
        <v>26</v>
      </c>
      <c r="G29" s="15">
        <v>0</v>
      </c>
      <c r="H29" s="15">
        <v>0</v>
      </c>
      <c r="I29" s="14" t="s">
        <v>26</v>
      </c>
      <c r="J29" s="15">
        <v>0</v>
      </c>
      <c r="K29" s="15">
        <v>0</v>
      </c>
      <c r="L29" s="16">
        <v>3154</v>
      </c>
      <c r="M29" s="16">
        <v>311</v>
      </c>
      <c r="N29" s="17">
        <f t="shared" si="0"/>
        <v>9.860494610019023E-2</v>
      </c>
      <c r="O29" s="16">
        <v>0</v>
      </c>
      <c r="P29" s="16">
        <v>0</v>
      </c>
      <c r="Q29" s="18">
        <f t="shared" si="4"/>
        <v>0</v>
      </c>
      <c r="R29" s="18">
        <f t="shared" si="5"/>
        <v>0</v>
      </c>
      <c r="S29" s="18">
        <f t="shared" si="3"/>
        <v>1</v>
      </c>
    </row>
    <row r="30" spans="1:19" x14ac:dyDescent="0.25">
      <c r="A30" s="14" t="s">
        <v>74</v>
      </c>
      <c r="B30" s="14" t="s">
        <v>62</v>
      </c>
      <c r="C30" s="14" t="s">
        <v>22</v>
      </c>
      <c r="D30" s="15">
        <v>2</v>
      </c>
      <c r="E30" s="15">
        <v>13</v>
      </c>
      <c r="F30" s="14" t="s">
        <v>22</v>
      </c>
      <c r="G30" s="15">
        <v>28</v>
      </c>
      <c r="H30" s="15">
        <v>3</v>
      </c>
      <c r="I30" s="14" t="s">
        <v>22</v>
      </c>
      <c r="J30" s="15">
        <v>14</v>
      </c>
      <c r="K30" s="15">
        <v>1</v>
      </c>
      <c r="L30" s="16">
        <v>11982</v>
      </c>
      <c r="M30" s="16">
        <v>2201</v>
      </c>
      <c r="N30" s="17">
        <f t="shared" si="0"/>
        <v>0.18369220497412786</v>
      </c>
      <c r="O30" s="16">
        <v>86</v>
      </c>
      <c r="P30" s="16">
        <v>587</v>
      </c>
      <c r="Q30" s="18">
        <f t="shared" si="4"/>
        <v>3.9073148568832351E-2</v>
      </c>
      <c r="R30" s="18">
        <f t="shared" si="5"/>
        <v>0.26669695592912313</v>
      </c>
      <c r="S30" s="18">
        <f t="shared" si="3"/>
        <v>0.6942298955020445</v>
      </c>
    </row>
    <row r="31" spans="1:19" x14ac:dyDescent="0.25">
      <c r="A31" s="14" t="s">
        <v>75</v>
      </c>
      <c r="B31" s="14" t="s">
        <v>76</v>
      </c>
      <c r="C31" s="14" t="s">
        <v>22</v>
      </c>
      <c r="D31" s="15">
        <v>2</v>
      </c>
      <c r="E31" s="15">
        <v>14</v>
      </c>
      <c r="F31" s="14" t="s">
        <v>26</v>
      </c>
      <c r="G31" s="15">
        <v>0</v>
      </c>
      <c r="H31" s="15">
        <v>0</v>
      </c>
      <c r="I31" s="14" t="s">
        <v>26</v>
      </c>
      <c r="J31" s="15">
        <v>0</v>
      </c>
      <c r="K31" s="15">
        <v>0</v>
      </c>
      <c r="L31" s="16">
        <v>6459</v>
      </c>
      <c r="M31" s="16">
        <v>1777</v>
      </c>
      <c r="N31" s="17">
        <f t="shared" si="0"/>
        <v>0.27511998761418177</v>
      </c>
      <c r="O31" s="16">
        <v>0</v>
      </c>
      <c r="P31" s="16">
        <v>0</v>
      </c>
      <c r="Q31" s="18">
        <f t="shared" si="4"/>
        <v>0</v>
      </c>
      <c r="R31" s="18">
        <f t="shared" si="5"/>
        <v>0</v>
      </c>
      <c r="S31" s="18">
        <f t="shared" si="3"/>
        <v>1</v>
      </c>
    </row>
    <row r="32" spans="1:19" x14ac:dyDescent="0.25">
      <c r="A32" s="14" t="s">
        <v>77</v>
      </c>
      <c r="B32" s="14" t="s">
        <v>76</v>
      </c>
      <c r="C32" s="14" t="s">
        <v>22</v>
      </c>
      <c r="D32" s="15">
        <v>11</v>
      </c>
      <c r="E32" s="15">
        <v>71</v>
      </c>
      <c r="F32" s="14" t="s">
        <v>22</v>
      </c>
      <c r="G32" s="15">
        <v>1</v>
      </c>
      <c r="H32" s="15">
        <v>6</v>
      </c>
      <c r="I32" s="14" t="s">
        <v>22</v>
      </c>
      <c r="J32" s="15">
        <v>20</v>
      </c>
      <c r="K32" s="15">
        <v>6</v>
      </c>
      <c r="L32" s="16">
        <v>36068</v>
      </c>
      <c r="M32" s="16">
        <v>15981</v>
      </c>
      <c r="N32" s="17">
        <f t="shared" si="0"/>
        <v>0.44307973827215258</v>
      </c>
      <c r="O32" s="16">
        <v>1613</v>
      </c>
      <c r="P32" s="16">
        <v>0</v>
      </c>
      <c r="Q32" s="18">
        <f t="shared" si="4"/>
        <v>0.1009323571741443</v>
      </c>
      <c r="R32" s="18">
        <f t="shared" si="5"/>
        <v>0</v>
      </c>
      <c r="S32" s="18">
        <f t="shared" si="3"/>
        <v>0.89906764282585572</v>
      </c>
    </row>
    <row r="33" spans="1:19" x14ac:dyDescent="0.25">
      <c r="A33" s="14" t="s">
        <v>78</v>
      </c>
      <c r="B33" s="14" t="s">
        <v>44</v>
      </c>
      <c r="C33" s="14" t="s">
        <v>22</v>
      </c>
      <c r="D33" s="15">
        <v>5</v>
      </c>
      <c r="E33" s="15">
        <v>30</v>
      </c>
      <c r="F33" s="14" t="s">
        <v>22</v>
      </c>
      <c r="G33" s="15">
        <v>24</v>
      </c>
      <c r="H33" s="15">
        <v>9</v>
      </c>
      <c r="I33" s="14" t="s">
        <v>23</v>
      </c>
      <c r="J33" s="15">
        <v>13</v>
      </c>
      <c r="K33" s="15">
        <v>7</v>
      </c>
      <c r="L33" s="16">
        <v>27958</v>
      </c>
      <c r="M33" s="16">
        <v>7339</v>
      </c>
      <c r="N33" s="17">
        <f t="shared" si="0"/>
        <v>0.26250089419844053</v>
      </c>
      <c r="O33" s="16">
        <v>564</v>
      </c>
      <c r="P33" s="16">
        <v>0</v>
      </c>
      <c r="Q33" s="18">
        <f t="shared" si="4"/>
        <v>7.6849707044556473E-2</v>
      </c>
      <c r="R33" s="18">
        <f t="shared" si="5"/>
        <v>0</v>
      </c>
      <c r="S33" s="18">
        <f t="shared" si="3"/>
        <v>0.92315029295544349</v>
      </c>
    </row>
    <row r="34" spans="1:19" x14ac:dyDescent="0.25">
      <c r="A34" s="14" t="s">
        <v>79</v>
      </c>
      <c r="B34" s="14" t="s">
        <v>34</v>
      </c>
      <c r="C34" s="14" t="s">
        <v>22</v>
      </c>
      <c r="D34" s="15">
        <v>3</v>
      </c>
      <c r="E34" s="15">
        <v>27</v>
      </c>
      <c r="F34" s="14" t="s">
        <v>22</v>
      </c>
      <c r="G34" s="15">
        <v>16</v>
      </c>
      <c r="H34" s="15">
        <v>7</v>
      </c>
      <c r="I34" s="14" t="s">
        <v>23</v>
      </c>
      <c r="J34" s="15">
        <v>21</v>
      </c>
      <c r="K34" s="15">
        <v>7</v>
      </c>
      <c r="L34" s="16">
        <v>31142</v>
      </c>
      <c r="M34" s="16">
        <v>7904</v>
      </c>
      <c r="N34" s="17">
        <f t="shared" ref="N34:N65" si="6">M34/L34</f>
        <v>0.25380515060047526</v>
      </c>
      <c r="O34" s="16">
        <v>775</v>
      </c>
      <c r="P34" s="16">
        <v>0</v>
      </c>
      <c r="Q34" s="18">
        <f t="shared" si="4"/>
        <v>9.8051619433198386E-2</v>
      </c>
      <c r="R34" s="18">
        <f t="shared" si="5"/>
        <v>0</v>
      </c>
      <c r="S34" s="18">
        <f t="shared" ref="S34:S65" si="7">1-Q34-R34</f>
        <v>0.9019483805668016</v>
      </c>
    </row>
    <row r="35" spans="1:19" x14ac:dyDescent="0.25">
      <c r="A35" s="14" t="s">
        <v>80</v>
      </c>
      <c r="B35" s="14" t="s">
        <v>21</v>
      </c>
      <c r="C35" s="14" t="s">
        <v>22</v>
      </c>
      <c r="D35" s="15">
        <v>2</v>
      </c>
      <c r="E35" s="15">
        <v>23</v>
      </c>
      <c r="F35" s="14" t="s">
        <v>22</v>
      </c>
      <c r="G35" s="15">
        <v>33</v>
      </c>
      <c r="H35" s="15">
        <v>4</v>
      </c>
      <c r="I35" s="14" t="s">
        <v>22</v>
      </c>
      <c r="J35" s="15">
        <v>12</v>
      </c>
      <c r="K35" s="15">
        <v>3</v>
      </c>
      <c r="L35" s="16">
        <v>15285</v>
      </c>
      <c r="M35" s="16">
        <v>3385</v>
      </c>
      <c r="N35" s="17">
        <f t="shared" si="6"/>
        <v>0.22145894667975138</v>
      </c>
      <c r="O35" s="16">
        <v>451</v>
      </c>
      <c r="P35" s="16">
        <v>626</v>
      </c>
      <c r="Q35" s="18">
        <f t="shared" si="4"/>
        <v>0.13323485967503693</v>
      </c>
      <c r="R35" s="18">
        <f t="shared" si="5"/>
        <v>0.18493353028064993</v>
      </c>
      <c r="S35" s="18">
        <f t="shared" si="7"/>
        <v>0.68183161004431314</v>
      </c>
    </row>
    <row r="36" spans="1:19" x14ac:dyDescent="0.25">
      <c r="A36" s="14" t="s">
        <v>81</v>
      </c>
      <c r="B36" s="14" t="s">
        <v>47</v>
      </c>
      <c r="C36" s="14" t="s">
        <v>22</v>
      </c>
      <c r="D36" s="15">
        <v>4</v>
      </c>
      <c r="E36" s="15">
        <v>36</v>
      </c>
      <c r="F36" s="14" t="s">
        <v>22</v>
      </c>
      <c r="G36" s="15">
        <v>46</v>
      </c>
      <c r="H36" s="15">
        <v>12</v>
      </c>
      <c r="I36" s="14" t="s">
        <v>23</v>
      </c>
      <c r="J36" s="15">
        <v>32</v>
      </c>
      <c r="K36" s="15">
        <v>7</v>
      </c>
      <c r="L36" s="16">
        <v>20031</v>
      </c>
      <c r="M36" s="16">
        <v>8772</v>
      </c>
      <c r="N36" s="17">
        <f t="shared" si="6"/>
        <v>0.43792122210573609</v>
      </c>
      <c r="O36" s="16">
        <v>1271</v>
      </c>
      <c r="P36" s="16">
        <v>0</v>
      </c>
      <c r="Q36" s="18">
        <f t="shared" si="4"/>
        <v>0.14489284085727314</v>
      </c>
      <c r="R36" s="18">
        <f t="shared" si="5"/>
        <v>0</v>
      </c>
      <c r="S36" s="18">
        <f t="shared" si="7"/>
        <v>0.85510715914272684</v>
      </c>
    </row>
    <row r="37" spans="1:19" x14ac:dyDescent="0.25">
      <c r="A37" s="14" t="s">
        <v>82</v>
      </c>
      <c r="B37" s="14" t="s">
        <v>83</v>
      </c>
      <c r="C37" s="14" t="s">
        <v>22</v>
      </c>
      <c r="D37" s="15">
        <v>5</v>
      </c>
      <c r="E37" s="15">
        <v>41</v>
      </c>
      <c r="F37" s="14" t="s">
        <v>22</v>
      </c>
      <c r="G37" s="15">
        <v>1</v>
      </c>
      <c r="H37" s="15">
        <v>2</v>
      </c>
      <c r="I37" s="14" t="s">
        <v>22</v>
      </c>
      <c r="J37" s="15">
        <v>6</v>
      </c>
      <c r="K37" s="15">
        <v>1</v>
      </c>
      <c r="L37" s="16">
        <v>28197</v>
      </c>
      <c r="M37" s="16">
        <v>4001</v>
      </c>
      <c r="N37" s="17">
        <f t="shared" si="6"/>
        <v>0.14189452778664396</v>
      </c>
      <c r="O37" s="16">
        <v>0</v>
      </c>
      <c r="P37" s="16">
        <v>442</v>
      </c>
      <c r="Q37" s="18">
        <f t="shared" si="4"/>
        <v>0</v>
      </c>
      <c r="R37" s="18">
        <f t="shared" si="5"/>
        <v>0.11047238190452387</v>
      </c>
      <c r="S37" s="18">
        <f t="shared" si="7"/>
        <v>0.88952761809547609</v>
      </c>
    </row>
    <row r="38" spans="1:19" x14ac:dyDescent="0.25">
      <c r="A38" s="14" t="s">
        <v>84</v>
      </c>
      <c r="B38" s="14" t="s">
        <v>70</v>
      </c>
      <c r="C38" s="14" t="s">
        <v>22</v>
      </c>
      <c r="D38" s="15">
        <v>1</v>
      </c>
      <c r="E38" s="15">
        <v>9</v>
      </c>
      <c r="F38" s="14" t="s">
        <v>26</v>
      </c>
      <c r="G38" s="15">
        <v>0</v>
      </c>
      <c r="H38" s="15">
        <v>0</v>
      </c>
      <c r="I38" s="14" t="s">
        <v>26</v>
      </c>
      <c r="J38" s="15">
        <v>0</v>
      </c>
      <c r="K38" s="15">
        <v>0</v>
      </c>
      <c r="L38" s="16">
        <v>3729</v>
      </c>
      <c r="M38" s="16">
        <v>822</v>
      </c>
      <c r="N38" s="17">
        <f t="shared" si="6"/>
        <v>0.22043443282381336</v>
      </c>
      <c r="O38" s="16">
        <v>0</v>
      </c>
      <c r="P38" s="16">
        <v>0</v>
      </c>
      <c r="Q38" s="18">
        <f t="shared" si="4"/>
        <v>0</v>
      </c>
      <c r="R38" s="18">
        <f t="shared" si="5"/>
        <v>0</v>
      </c>
      <c r="S38" s="18">
        <f t="shared" si="7"/>
        <v>1</v>
      </c>
    </row>
    <row r="39" spans="1:19" x14ac:dyDescent="0.25">
      <c r="A39" s="14" t="s">
        <v>85</v>
      </c>
      <c r="B39" s="14" t="s">
        <v>76</v>
      </c>
      <c r="C39" s="14" t="s">
        <v>22</v>
      </c>
      <c r="D39" s="15">
        <v>4</v>
      </c>
      <c r="E39" s="15">
        <v>9</v>
      </c>
      <c r="F39" s="14" t="s">
        <v>22</v>
      </c>
      <c r="G39" s="15">
        <v>1</v>
      </c>
      <c r="H39" s="15">
        <v>1</v>
      </c>
      <c r="I39" s="14" t="s">
        <v>22</v>
      </c>
      <c r="J39" s="15">
        <v>10</v>
      </c>
      <c r="K39" s="15">
        <v>1</v>
      </c>
      <c r="L39" s="16">
        <v>9133</v>
      </c>
      <c r="M39" s="16">
        <v>1738</v>
      </c>
      <c r="N39" s="17">
        <f t="shared" si="6"/>
        <v>0.19029891601883281</v>
      </c>
      <c r="O39" s="16">
        <v>381</v>
      </c>
      <c r="P39" s="16">
        <v>0</v>
      </c>
      <c r="Q39" s="18">
        <f t="shared" si="4"/>
        <v>0.21921749136939012</v>
      </c>
      <c r="R39" s="18">
        <f t="shared" si="5"/>
        <v>0</v>
      </c>
      <c r="S39" s="18">
        <f t="shared" si="7"/>
        <v>0.78078250863060994</v>
      </c>
    </row>
    <row r="40" spans="1:19" x14ac:dyDescent="0.25">
      <c r="A40" s="14" t="s">
        <v>86</v>
      </c>
      <c r="B40" s="14" t="s">
        <v>36</v>
      </c>
      <c r="C40" s="14" t="s">
        <v>22</v>
      </c>
      <c r="D40" s="15">
        <v>5</v>
      </c>
      <c r="E40" s="15">
        <v>18</v>
      </c>
      <c r="F40" s="14" t="s">
        <v>22</v>
      </c>
      <c r="G40" s="15">
        <v>12</v>
      </c>
      <c r="H40" s="15">
        <v>3</v>
      </c>
      <c r="I40" s="14" t="s">
        <v>23</v>
      </c>
      <c r="J40" s="15">
        <v>13</v>
      </c>
      <c r="K40" s="15">
        <v>3</v>
      </c>
      <c r="L40" s="16">
        <v>8513</v>
      </c>
      <c r="M40" s="16">
        <v>2828</v>
      </c>
      <c r="N40" s="17">
        <f t="shared" si="6"/>
        <v>0.33219781510630803</v>
      </c>
      <c r="O40" s="16">
        <v>381</v>
      </c>
      <c r="P40" s="16">
        <v>0</v>
      </c>
      <c r="Q40" s="18">
        <f t="shared" si="4"/>
        <v>0.13472418670438471</v>
      </c>
      <c r="R40" s="18">
        <f t="shared" si="5"/>
        <v>0</v>
      </c>
      <c r="S40" s="18">
        <f t="shared" si="7"/>
        <v>0.86527581329561531</v>
      </c>
    </row>
    <row r="41" spans="1:19" x14ac:dyDescent="0.25">
      <c r="A41" s="14" t="s">
        <v>87</v>
      </c>
      <c r="B41" s="14" t="s">
        <v>21</v>
      </c>
      <c r="C41" s="14" t="s">
        <v>22</v>
      </c>
      <c r="D41" s="15">
        <v>2</v>
      </c>
      <c r="E41" s="15">
        <v>18</v>
      </c>
      <c r="F41" s="14" t="s">
        <v>22</v>
      </c>
      <c r="G41" s="15">
        <v>15</v>
      </c>
      <c r="H41" s="15">
        <v>7</v>
      </c>
      <c r="I41" s="14" t="s">
        <v>23</v>
      </c>
      <c r="J41" s="15">
        <v>10</v>
      </c>
      <c r="K41" s="15">
        <v>2</v>
      </c>
      <c r="L41" s="16">
        <v>27917</v>
      </c>
      <c r="M41" s="16">
        <v>3974</v>
      </c>
      <c r="N41" s="17">
        <f t="shared" si="6"/>
        <v>0.14235053909804063</v>
      </c>
      <c r="O41" s="16">
        <v>218</v>
      </c>
      <c r="P41" s="16">
        <v>0</v>
      </c>
      <c r="Q41" s="18">
        <f t="shared" si="4"/>
        <v>5.4856567689984904E-2</v>
      </c>
      <c r="R41" s="18">
        <f t="shared" si="5"/>
        <v>0</v>
      </c>
      <c r="S41" s="18">
        <f t="shared" si="7"/>
        <v>0.94514343231001507</v>
      </c>
    </row>
    <row r="42" spans="1:19" x14ac:dyDescent="0.25">
      <c r="A42" s="14" t="s">
        <v>88</v>
      </c>
      <c r="B42" s="14" t="s">
        <v>53</v>
      </c>
      <c r="C42" s="14" t="s">
        <v>22</v>
      </c>
      <c r="D42" s="15">
        <v>2</v>
      </c>
      <c r="E42" s="15">
        <v>29</v>
      </c>
      <c r="F42" s="14" t="s">
        <v>22</v>
      </c>
      <c r="G42" s="15">
        <v>11</v>
      </c>
      <c r="H42" s="15">
        <v>3</v>
      </c>
      <c r="I42" s="14" t="s">
        <v>22</v>
      </c>
      <c r="J42" s="15">
        <v>11</v>
      </c>
      <c r="K42" s="15">
        <v>3</v>
      </c>
      <c r="L42" s="16">
        <v>50105</v>
      </c>
      <c r="M42" s="16">
        <v>9523</v>
      </c>
      <c r="N42" s="17">
        <f t="shared" si="6"/>
        <v>0.19006087216844628</v>
      </c>
      <c r="O42" s="16">
        <v>0</v>
      </c>
      <c r="P42" s="16">
        <v>1912</v>
      </c>
      <c r="Q42" s="18">
        <f t="shared" si="4"/>
        <v>0</v>
      </c>
      <c r="R42" s="18">
        <f t="shared" si="5"/>
        <v>0.20077706605061429</v>
      </c>
      <c r="S42" s="18">
        <f t="shared" si="7"/>
        <v>0.79922293394938571</v>
      </c>
    </row>
    <row r="43" spans="1:19" x14ac:dyDescent="0.25">
      <c r="A43" s="14" t="s">
        <v>89</v>
      </c>
      <c r="B43" s="14" t="s">
        <v>49</v>
      </c>
      <c r="C43" s="14" t="s">
        <v>22</v>
      </c>
      <c r="D43" s="15">
        <v>3</v>
      </c>
      <c r="E43" s="15">
        <v>27</v>
      </c>
      <c r="F43" s="14" t="s">
        <v>22</v>
      </c>
      <c r="G43" s="15">
        <v>14</v>
      </c>
      <c r="H43" s="15">
        <v>10</v>
      </c>
      <c r="I43" s="14" t="s">
        <v>22</v>
      </c>
      <c r="J43" s="15">
        <v>9</v>
      </c>
      <c r="K43" s="15">
        <v>2</v>
      </c>
      <c r="L43" s="16">
        <v>30420</v>
      </c>
      <c r="M43" s="16">
        <v>6943</v>
      </c>
      <c r="N43" s="17">
        <f t="shared" si="6"/>
        <v>0.22823800131492439</v>
      </c>
      <c r="O43" s="16">
        <v>335</v>
      </c>
      <c r="P43" s="16">
        <v>911</v>
      </c>
      <c r="Q43" s="18">
        <f t="shared" si="4"/>
        <v>4.8250036007489561E-2</v>
      </c>
      <c r="R43" s="18">
        <f t="shared" si="5"/>
        <v>0.13121129194872533</v>
      </c>
      <c r="S43" s="18">
        <f t="shared" si="7"/>
        <v>0.82053867204378506</v>
      </c>
    </row>
    <row r="44" spans="1:19" x14ac:dyDescent="0.25">
      <c r="A44" s="14" t="s">
        <v>90</v>
      </c>
      <c r="B44" s="14" t="s">
        <v>34</v>
      </c>
      <c r="C44" s="14" t="s">
        <v>22</v>
      </c>
      <c r="D44" s="15">
        <v>2</v>
      </c>
      <c r="E44" s="15">
        <v>11</v>
      </c>
      <c r="F44" s="14" t="s">
        <v>22</v>
      </c>
      <c r="G44" s="15">
        <v>17</v>
      </c>
      <c r="H44" s="15">
        <v>6</v>
      </c>
      <c r="I44" s="14" t="s">
        <v>22</v>
      </c>
      <c r="J44" s="15">
        <v>14</v>
      </c>
      <c r="K44" s="15">
        <v>6</v>
      </c>
      <c r="L44" s="16">
        <v>14173</v>
      </c>
      <c r="M44" s="16">
        <v>5494</v>
      </c>
      <c r="N44" s="17">
        <f t="shared" si="6"/>
        <v>0.38763846750864317</v>
      </c>
      <c r="O44" s="16">
        <v>72</v>
      </c>
      <c r="P44" s="16">
        <v>1591</v>
      </c>
      <c r="Q44" s="18">
        <f t="shared" si="4"/>
        <v>1.3105205678922462E-2</v>
      </c>
      <c r="R44" s="18">
        <f t="shared" si="5"/>
        <v>0.28958864215507829</v>
      </c>
      <c r="S44" s="18">
        <f t="shared" si="7"/>
        <v>0.69730615216599923</v>
      </c>
    </row>
    <row r="45" spans="1:19" x14ac:dyDescent="0.25">
      <c r="A45" s="14" t="s">
        <v>91</v>
      </c>
      <c r="B45" s="14" t="s">
        <v>92</v>
      </c>
      <c r="C45" s="14" t="s">
        <v>22</v>
      </c>
      <c r="D45" s="15">
        <v>1</v>
      </c>
      <c r="E45" s="15">
        <v>20</v>
      </c>
      <c r="F45" s="14" t="s">
        <v>22</v>
      </c>
      <c r="G45" s="15">
        <v>9</v>
      </c>
      <c r="H45" s="15">
        <v>3</v>
      </c>
      <c r="I45" s="14" t="s">
        <v>22</v>
      </c>
      <c r="J45" s="15">
        <v>6</v>
      </c>
      <c r="K45" s="15">
        <v>1</v>
      </c>
      <c r="L45" s="16">
        <v>4797</v>
      </c>
      <c r="M45" s="16">
        <v>1587</v>
      </c>
      <c r="N45" s="17">
        <f t="shared" si="6"/>
        <v>0.33083176985616009</v>
      </c>
      <c r="O45" s="16">
        <v>128</v>
      </c>
      <c r="P45" s="16">
        <v>157</v>
      </c>
      <c r="Q45" s="18">
        <f t="shared" si="4"/>
        <v>8.0655324511657217E-2</v>
      </c>
      <c r="R45" s="18">
        <f t="shared" si="5"/>
        <v>9.8928796471329558E-2</v>
      </c>
      <c r="S45" s="18">
        <f t="shared" si="7"/>
        <v>0.82041587901701318</v>
      </c>
    </row>
    <row r="46" spans="1:19" x14ac:dyDescent="0.25">
      <c r="A46" s="14" t="s">
        <v>93</v>
      </c>
      <c r="B46" s="14" t="s">
        <v>53</v>
      </c>
      <c r="C46" s="14" t="s">
        <v>22</v>
      </c>
      <c r="D46" s="15">
        <v>2</v>
      </c>
      <c r="E46" s="15">
        <v>21</v>
      </c>
      <c r="F46" s="14" t="s">
        <v>22</v>
      </c>
      <c r="G46" s="15">
        <v>10</v>
      </c>
      <c r="H46" s="15">
        <v>2</v>
      </c>
      <c r="I46" s="14" t="s">
        <v>22</v>
      </c>
      <c r="J46" s="15">
        <v>5</v>
      </c>
      <c r="K46" s="15">
        <v>1</v>
      </c>
      <c r="L46" s="16">
        <v>19708</v>
      </c>
      <c r="M46" s="16">
        <v>5463</v>
      </c>
      <c r="N46" s="17">
        <f t="shared" si="6"/>
        <v>0.27719707732900345</v>
      </c>
      <c r="O46" s="16">
        <v>376</v>
      </c>
      <c r="P46" s="16">
        <v>522</v>
      </c>
      <c r="Q46" s="18">
        <f t="shared" ref="Q46:Q70" si="8">O46/$M46</f>
        <v>6.8826652022698151E-2</v>
      </c>
      <c r="R46" s="18">
        <f t="shared" ref="R46:R70" si="9">P46/$M46</f>
        <v>9.5551894563426693E-2</v>
      </c>
      <c r="S46" s="18">
        <f t="shared" si="7"/>
        <v>0.83562145341387517</v>
      </c>
    </row>
    <row r="47" spans="1:19" x14ac:dyDescent="0.25">
      <c r="A47" s="14" t="s">
        <v>94</v>
      </c>
      <c r="B47" s="14" t="s">
        <v>95</v>
      </c>
      <c r="C47" s="14" t="s">
        <v>22</v>
      </c>
      <c r="D47" s="15">
        <v>3</v>
      </c>
      <c r="E47" s="15">
        <v>29</v>
      </c>
      <c r="F47" s="14" t="s">
        <v>22</v>
      </c>
      <c r="G47" s="15">
        <v>11</v>
      </c>
      <c r="H47" s="15">
        <v>10</v>
      </c>
      <c r="I47" s="14" t="s">
        <v>22</v>
      </c>
      <c r="J47" s="15">
        <v>9</v>
      </c>
      <c r="K47" s="15">
        <v>10</v>
      </c>
      <c r="L47" s="16">
        <v>23216</v>
      </c>
      <c r="M47" s="16">
        <v>7632</v>
      </c>
      <c r="N47" s="17">
        <f t="shared" si="6"/>
        <v>0.32873880082701584</v>
      </c>
      <c r="O47" s="16">
        <v>198</v>
      </c>
      <c r="P47" s="16">
        <v>1142</v>
      </c>
      <c r="Q47" s="18">
        <f t="shared" si="8"/>
        <v>2.5943396226415096E-2</v>
      </c>
      <c r="R47" s="18">
        <f t="shared" si="9"/>
        <v>0.14963312368972748</v>
      </c>
      <c r="S47" s="18">
        <f t="shared" si="7"/>
        <v>0.82442348008385746</v>
      </c>
    </row>
    <row r="48" spans="1:19" x14ac:dyDescent="0.25">
      <c r="A48" s="14" t="s">
        <v>96</v>
      </c>
      <c r="B48" s="14" t="s">
        <v>36</v>
      </c>
      <c r="C48" s="14" t="s">
        <v>22</v>
      </c>
      <c r="D48" s="15">
        <v>3</v>
      </c>
      <c r="E48" s="15">
        <v>16</v>
      </c>
      <c r="F48" s="14" t="s">
        <v>26</v>
      </c>
      <c r="G48" s="15">
        <v>0</v>
      </c>
      <c r="H48" s="15">
        <v>0</v>
      </c>
      <c r="I48" s="14" t="s">
        <v>26</v>
      </c>
      <c r="J48" s="15">
        <v>0</v>
      </c>
      <c r="K48" s="15">
        <v>0</v>
      </c>
      <c r="L48" s="16">
        <v>3966</v>
      </c>
      <c r="M48" s="16">
        <v>1239</v>
      </c>
      <c r="N48" s="17">
        <f t="shared" si="6"/>
        <v>0.3124054462934947</v>
      </c>
      <c r="O48" s="16">
        <v>0</v>
      </c>
      <c r="P48" s="16">
        <v>0</v>
      </c>
      <c r="Q48" s="18">
        <f t="shared" si="8"/>
        <v>0</v>
      </c>
      <c r="R48" s="18">
        <f t="shared" si="9"/>
        <v>0</v>
      </c>
      <c r="S48" s="18">
        <f t="shared" si="7"/>
        <v>1</v>
      </c>
    </row>
    <row r="49" spans="1:19" x14ac:dyDescent="0.25">
      <c r="A49" s="14" t="s">
        <v>97</v>
      </c>
      <c r="B49" s="14" t="s">
        <v>55</v>
      </c>
      <c r="C49" s="14" t="s">
        <v>22</v>
      </c>
      <c r="D49" s="15">
        <v>2</v>
      </c>
      <c r="E49" s="15">
        <v>23</v>
      </c>
      <c r="F49" s="14" t="s">
        <v>22</v>
      </c>
      <c r="G49" s="15">
        <v>23</v>
      </c>
      <c r="H49" s="15">
        <v>6</v>
      </c>
      <c r="I49" s="14" t="s">
        <v>22</v>
      </c>
      <c r="J49" s="15">
        <v>16</v>
      </c>
      <c r="K49" s="15">
        <v>4</v>
      </c>
      <c r="L49" s="16">
        <v>26458</v>
      </c>
      <c r="M49" s="16">
        <v>3070</v>
      </c>
      <c r="N49" s="17">
        <f t="shared" si="6"/>
        <v>0.11603295789553254</v>
      </c>
      <c r="O49" s="16">
        <v>110</v>
      </c>
      <c r="P49" s="16">
        <v>729</v>
      </c>
      <c r="Q49" s="18">
        <f t="shared" si="8"/>
        <v>3.5830618892508145E-2</v>
      </c>
      <c r="R49" s="18">
        <f t="shared" si="9"/>
        <v>0.23745928338762215</v>
      </c>
      <c r="S49" s="18">
        <f t="shared" si="7"/>
        <v>0.72671009771986972</v>
      </c>
    </row>
    <row r="50" spans="1:19" x14ac:dyDescent="0.25">
      <c r="A50" s="14" t="s">
        <v>98</v>
      </c>
      <c r="B50" s="14" t="s">
        <v>25</v>
      </c>
      <c r="C50" s="14" t="s">
        <v>22</v>
      </c>
      <c r="D50" s="15">
        <v>3</v>
      </c>
      <c r="E50" s="15">
        <v>23</v>
      </c>
      <c r="F50" s="14" t="s">
        <v>22</v>
      </c>
      <c r="G50" s="15">
        <v>12</v>
      </c>
      <c r="H50" s="15">
        <v>1</v>
      </c>
      <c r="I50" s="14" t="s">
        <v>22</v>
      </c>
      <c r="J50" s="15">
        <v>13</v>
      </c>
      <c r="K50" s="15">
        <v>1</v>
      </c>
      <c r="L50" s="16">
        <v>13363</v>
      </c>
      <c r="M50" s="16">
        <v>3451</v>
      </c>
      <c r="N50" s="17">
        <f t="shared" si="6"/>
        <v>0.25825039287585122</v>
      </c>
      <c r="O50" s="16">
        <v>45</v>
      </c>
      <c r="P50" s="16">
        <v>510</v>
      </c>
      <c r="Q50" s="18">
        <f t="shared" si="8"/>
        <v>1.3039698638075921E-2</v>
      </c>
      <c r="R50" s="18">
        <f t="shared" si="9"/>
        <v>0.14778325123152711</v>
      </c>
      <c r="S50" s="18">
        <f t="shared" si="7"/>
        <v>0.8391770501303969</v>
      </c>
    </row>
    <row r="51" spans="1:19" x14ac:dyDescent="0.25">
      <c r="A51" s="14" t="s">
        <v>99</v>
      </c>
      <c r="B51" s="14" t="s">
        <v>62</v>
      </c>
      <c r="C51" s="14" t="s">
        <v>22</v>
      </c>
      <c r="D51" s="15">
        <v>1</v>
      </c>
      <c r="E51" s="15">
        <v>13</v>
      </c>
      <c r="F51" s="14" t="s">
        <v>22</v>
      </c>
      <c r="G51" s="15">
        <v>13</v>
      </c>
      <c r="H51" s="15">
        <v>2</v>
      </c>
      <c r="I51" s="14" t="s">
        <v>22</v>
      </c>
      <c r="J51" s="15">
        <v>10</v>
      </c>
      <c r="K51" s="15">
        <v>1</v>
      </c>
      <c r="L51" s="16">
        <v>13832</v>
      </c>
      <c r="M51" s="16">
        <v>2390</v>
      </c>
      <c r="N51" s="17">
        <f t="shared" si="6"/>
        <v>0.17278773857721227</v>
      </c>
      <c r="O51" s="16">
        <v>101</v>
      </c>
      <c r="P51" s="16">
        <v>488</v>
      </c>
      <c r="Q51" s="18">
        <f t="shared" si="8"/>
        <v>4.225941422594142E-2</v>
      </c>
      <c r="R51" s="18">
        <f t="shared" si="9"/>
        <v>0.20418410041841004</v>
      </c>
      <c r="S51" s="18">
        <f t="shared" si="7"/>
        <v>0.75355648535564856</v>
      </c>
    </row>
    <row r="52" spans="1:19" x14ac:dyDescent="0.25">
      <c r="A52" s="14" t="s">
        <v>100</v>
      </c>
      <c r="B52" s="14" t="s">
        <v>21</v>
      </c>
      <c r="C52" s="14" t="s">
        <v>22</v>
      </c>
      <c r="D52" s="15">
        <v>2</v>
      </c>
      <c r="E52" s="15">
        <v>25</v>
      </c>
      <c r="F52" s="14" t="s">
        <v>22</v>
      </c>
      <c r="G52" s="15">
        <v>42</v>
      </c>
      <c r="H52" s="15">
        <v>12</v>
      </c>
      <c r="I52" s="14" t="s">
        <v>22</v>
      </c>
      <c r="J52" s="15">
        <v>24</v>
      </c>
      <c r="K52" s="15">
        <v>6</v>
      </c>
      <c r="L52" s="16">
        <v>18517</v>
      </c>
      <c r="M52" s="16">
        <v>4127</v>
      </c>
      <c r="N52" s="17">
        <f t="shared" si="6"/>
        <v>0.22287627585462008</v>
      </c>
      <c r="O52" s="16">
        <v>558</v>
      </c>
      <c r="P52" s="16">
        <v>1003</v>
      </c>
      <c r="Q52" s="18">
        <f t="shared" si="8"/>
        <v>0.13520717228010662</v>
      </c>
      <c r="R52" s="18">
        <f t="shared" si="9"/>
        <v>0.24303368063968986</v>
      </c>
      <c r="S52" s="18">
        <f t="shared" si="7"/>
        <v>0.62175914708020352</v>
      </c>
    </row>
    <row r="53" spans="1:19" x14ac:dyDescent="0.25">
      <c r="A53" s="14" t="s">
        <v>101</v>
      </c>
      <c r="B53" s="14" t="s">
        <v>72</v>
      </c>
      <c r="C53" s="14" t="s">
        <v>22</v>
      </c>
      <c r="D53" s="15">
        <v>5</v>
      </c>
      <c r="E53" s="15">
        <v>18</v>
      </c>
      <c r="F53" s="14" t="s">
        <v>22</v>
      </c>
      <c r="G53" s="15">
        <v>18</v>
      </c>
      <c r="H53" s="15">
        <v>6</v>
      </c>
      <c r="I53" s="14" t="s">
        <v>23</v>
      </c>
      <c r="J53" s="15">
        <v>5</v>
      </c>
      <c r="K53" s="15">
        <v>1</v>
      </c>
      <c r="L53" s="16">
        <v>10104</v>
      </c>
      <c r="M53" s="16">
        <v>3530</v>
      </c>
      <c r="N53" s="17">
        <f t="shared" si="6"/>
        <v>0.34936658749010291</v>
      </c>
      <c r="O53" s="16">
        <v>1134</v>
      </c>
      <c r="P53" s="16">
        <v>0</v>
      </c>
      <c r="Q53" s="18">
        <f t="shared" si="8"/>
        <v>0.32124645892351272</v>
      </c>
      <c r="R53" s="18">
        <f t="shared" si="9"/>
        <v>0</v>
      </c>
      <c r="S53" s="18">
        <f t="shared" si="7"/>
        <v>0.67875354107648733</v>
      </c>
    </row>
    <row r="54" spans="1:19" x14ac:dyDescent="0.25">
      <c r="A54" s="14" t="s">
        <v>102</v>
      </c>
      <c r="B54" s="14" t="s">
        <v>62</v>
      </c>
      <c r="C54" s="14" t="s">
        <v>22</v>
      </c>
      <c r="D54" s="15">
        <v>2</v>
      </c>
      <c r="E54" s="15">
        <v>11</v>
      </c>
      <c r="F54" s="14" t="s">
        <v>22</v>
      </c>
      <c r="G54" s="15">
        <v>8</v>
      </c>
      <c r="H54" s="15">
        <v>1</v>
      </c>
      <c r="I54" s="14" t="s">
        <v>22</v>
      </c>
      <c r="J54" s="15">
        <v>7</v>
      </c>
      <c r="K54" s="15">
        <v>1</v>
      </c>
      <c r="L54" s="16">
        <v>6144</v>
      </c>
      <c r="M54" s="16">
        <v>1656</v>
      </c>
      <c r="N54" s="17">
        <f t="shared" si="6"/>
        <v>0.26953125</v>
      </c>
      <c r="O54" s="16">
        <v>17</v>
      </c>
      <c r="P54" s="16">
        <v>487</v>
      </c>
      <c r="Q54" s="18">
        <f t="shared" si="8"/>
        <v>1.0265700483091788E-2</v>
      </c>
      <c r="R54" s="18">
        <f t="shared" si="9"/>
        <v>0.29408212560386471</v>
      </c>
      <c r="S54" s="18">
        <f t="shared" si="7"/>
        <v>0.69565217391304346</v>
      </c>
    </row>
    <row r="55" spans="1:19" x14ac:dyDescent="0.25">
      <c r="A55" s="14" t="s">
        <v>103</v>
      </c>
      <c r="B55" s="14" t="s">
        <v>62</v>
      </c>
      <c r="C55" s="14" t="s">
        <v>22</v>
      </c>
      <c r="D55" s="15">
        <v>2</v>
      </c>
      <c r="E55" s="15">
        <v>26</v>
      </c>
      <c r="F55" s="14" t="s">
        <v>22</v>
      </c>
      <c r="G55" s="15">
        <v>14</v>
      </c>
      <c r="H55" s="15">
        <v>3</v>
      </c>
      <c r="I55" s="14" t="s">
        <v>59</v>
      </c>
      <c r="J55" s="15">
        <v>17</v>
      </c>
      <c r="K55" s="15">
        <v>3</v>
      </c>
      <c r="L55" s="16">
        <v>21716</v>
      </c>
      <c r="M55" s="16">
        <v>2359</v>
      </c>
      <c r="N55" s="17">
        <f t="shared" si="6"/>
        <v>0.10862958187511512</v>
      </c>
      <c r="O55" s="16">
        <v>117</v>
      </c>
      <c r="P55" s="16">
        <v>0</v>
      </c>
      <c r="Q55" s="18">
        <f t="shared" si="8"/>
        <v>4.959728698601102E-2</v>
      </c>
      <c r="R55" s="18">
        <f t="shared" si="9"/>
        <v>0</v>
      </c>
      <c r="S55" s="18">
        <f t="shared" si="7"/>
        <v>0.95040271301398893</v>
      </c>
    </row>
    <row r="56" spans="1:19" x14ac:dyDescent="0.25">
      <c r="A56" s="14" t="s">
        <v>104</v>
      </c>
      <c r="B56" s="14" t="s">
        <v>62</v>
      </c>
      <c r="C56" s="14" t="s">
        <v>22</v>
      </c>
      <c r="D56" s="15">
        <v>2</v>
      </c>
      <c r="E56" s="15">
        <v>21</v>
      </c>
      <c r="F56" s="14" t="s">
        <v>105</v>
      </c>
      <c r="G56" s="15">
        <v>5</v>
      </c>
      <c r="H56" s="15">
        <v>2</v>
      </c>
      <c r="I56" s="14" t="s">
        <v>26</v>
      </c>
      <c r="J56" s="15">
        <v>0</v>
      </c>
      <c r="K56" s="15">
        <v>0</v>
      </c>
      <c r="L56" s="16">
        <v>13257</v>
      </c>
      <c r="M56" s="16">
        <v>2321</v>
      </c>
      <c r="N56" s="17">
        <f t="shared" si="6"/>
        <v>0.17507731764350909</v>
      </c>
      <c r="O56" s="16">
        <v>0</v>
      </c>
      <c r="P56" s="16">
        <v>0</v>
      </c>
      <c r="Q56" s="18">
        <f t="shared" si="8"/>
        <v>0</v>
      </c>
      <c r="R56" s="18">
        <f t="shared" si="9"/>
        <v>0</v>
      </c>
      <c r="S56" s="18">
        <f t="shared" si="7"/>
        <v>1</v>
      </c>
    </row>
    <row r="57" spans="1:19" x14ac:dyDescent="0.25">
      <c r="A57" s="14" t="s">
        <v>106</v>
      </c>
      <c r="B57" s="14" t="s">
        <v>62</v>
      </c>
      <c r="C57" s="14" t="s">
        <v>22</v>
      </c>
      <c r="D57" s="15">
        <v>2</v>
      </c>
      <c r="E57" s="15">
        <v>10</v>
      </c>
      <c r="F57" s="14" t="s">
        <v>22</v>
      </c>
      <c r="G57" s="15">
        <v>28</v>
      </c>
      <c r="H57" s="15">
        <v>4</v>
      </c>
      <c r="I57" s="14" t="s">
        <v>22</v>
      </c>
      <c r="J57" s="15">
        <v>11</v>
      </c>
      <c r="K57" s="15">
        <v>4</v>
      </c>
      <c r="L57" s="16">
        <v>7773</v>
      </c>
      <c r="M57" s="16">
        <v>1692</v>
      </c>
      <c r="N57" s="17">
        <f t="shared" si="6"/>
        <v>0.21767657275183327</v>
      </c>
      <c r="O57" s="16">
        <v>220</v>
      </c>
      <c r="P57" s="16">
        <v>360</v>
      </c>
      <c r="Q57" s="18">
        <f t="shared" si="8"/>
        <v>0.13002364066193853</v>
      </c>
      <c r="R57" s="18">
        <f t="shared" si="9"/>
        <v>0.21276595744680851</v>
      </c>
      <c r="S57" s="18">
        <f t="shared" si="7"/>
        <v>0.65721040189125302</v>
      </c>
    </row>
    <row r="58" spans="1:19" x14ac:dyDescent="0.25">
      <c r="A58" s="14" t="s">
        <v>107</v>
      </c>
      <c r="B58" s="14" t="s">
        <v>108</v>
      </c>
      <c r="C58" s="14" t="s">
        <v>22</v>
      </c>
      <c r="D58" s="15">
        <v>1</v>
      </c>
      <c r="E58" s="15">
        <v>33</v>
      </c>
      <c r="F58" s="14" t="s">
        <v>22</v>
      </c>
      <c r="G58" s="15">
        <v>27</v>
      </c>
      <c r="H58" s="15">
        <v>8</v>
      </c>
      <c r="I58" s="14" t="s">
        <v>23</v>
      </c>
      <c r="J58" s="15">
        <v>24</v>
      </c>
      <c r="K58" s="15">
        <v>5</v>
      </c>
      <c r="L58" s="16">
        <v>39509</v>
      </c>
      <c r="M58" s="16">
        <v>8115</v>
      </c>
      <c r="N58" s="17">
        <f t="shared" si="6"/>
        <v>0.20539623883165861</v>
      </c>
      <c r="O58" s="16">
        <v>986</v>
      </c>
      <c r="P58" s="16">
        <v>0</v>
      </c>
      <c r="Q58" s="18">
        <f t="shared" si="8"/>
        <v>0.1215033887861984</v>
      </c>
      <c r="R58" s="18">
        <f t="shared" si="9"/>
        <v>0</v>
      </c>
      <c r="S58" s="18">
        <f t="shared" si="7"/>
        <v>0.87849661121380163</v>
      </c>
    </row>
    <row r="59" spans="1:19" x14ac:dyDescent="0.25">
      <c r="A59" s="14" t="s">
        <v>109</v>
      </c>
      <c r="B59" s="14" t="s">
        <v>62</v>
      </c>
      <c r="C59" s="14" t="s">
        <v>22</v>
      </c>
      <c r="D59" s="15">
        <v>1</v>
      </c>
      <c r="E59" s="15">
        <v>12</v>
      </c>
      <c r="F59" s="14" t="s">
        <v>110</v>
      </c>
      <c r="G59" s="15">
        <v>4</v>
      </c>
      <c r="H59" s="15">
        <v>3</v>
      </c>
      <c r="I59" s="14" t="s">
        <v>111</v>
      </c>
      <c r="J59" s="15">
        <v>6</v>
      </c>
      <c r="K59" s="15">
        <v>2</v>
      </c>
      <c r="L59" s="16">
        <v>6044</v>
      </c>
      <c r="M59" s="16">
        <v>878</v>
      </c>
      <c r="N59" s="17">
        <f t="shared" si="6"/>
        <v>0.14526803441429517</v>
      </c>
      <c r="O59" s="16">
        <v>0</v>
      </c>
      <c r="P59" s="16">
        <v>0</v>
      </c>
      <c r="Q59" s="18">
        <f t="shared" si="8"/>
        <v>0</v>
      </c>
      <c r="R59" s="18">
        <f t="shared" si="9"/>
        <v>0</v>
      </c>
      <c r="S59" s="18">
        <f t="shared" si="7"/>
        <v>1</v>
      </c>
    </row>
    <row r="60" spans="1:19" x14ac:dyDescent="0.25">
      <c r="A60" s="14" t="s">
        <v>112</v>
      </c>
      <c r="B60" s="14" t="s">
        <v>113</v>
      </c>
      <c r="C60" s="14" t="s">
        <v>22</v>
      </c>
      <c r="D60" s="15">
        <v>4</v>
      </c>
      <c r="E60" s="15">
        <v>24</v>
      </c>
      <c r="F60" s="14" t="s">
        <v>22</v>
      </c>
      <c r="G60" s="15">
        <v>4</v>
      </c>
      <c r="H60" s="15">
        <v>5</v>
      </c>
      <c r="I60" s="14" t="s">
        <v>23</v>
      </c>
      <c r="J60" s="15">
        <v>4</v>
      </c>
      <c r="K60" s="15">
        <v>5</v>
      </c>
      <c r="L60" s="16">
        <v>10894</v>
      </c>
      <c r="M60" s="16">
        <v>5805</v>
      </c>
      <c r="N60" s="17">
        <f t="shared" si="6"/>
        <v>0.53286212594088489</v>
      </c>
      <c r="O60" s="16">
        <v>1091</v>
      </c>
      <c r="P60" s="16">
        <v>0</v>
      </c>
      <c r="Q60" s="18">
        <f t="shared" si="8"/>
        <v>0.1879414298018949</v>
      </c>
      <c r="R60" s="18">
        <f t="shared" si="9"/>
        <v>0</v>
      </c>
      <c r="S60" s="18">
        <f t="shared" si="7"/>
        <v>0.81205857019810512</v>
      </c>
    </row>
    <row r="61" spans="1:19" x14ac:dyDescent="0.25">
      <c r="A61" s="14" t="s">
        <v>114</v>
      </c>
      <c r="B61" s="14" t="s">
        <v>62</v>
      </c>
      <c r="C61" s="14" t="s">
        <v>22</v>
      </c>
      <c r="D61" s="15">
        <v>1</v>
      </c>
      <c r="E61" s="15">
        <v>4</v>
      </c>
      <c r="F61" s="14" t="s">
        <v>22</v>
      </c>
      <c r="G61" s="15">
        <v>8</v>
      </c>
      <c r="H61" s="15">
        <v>1</v>
      </c>
      <c r="I61" s="14" t="s">
        <v>110</v>
      </c>
      <c r="J61" s="15">
        <v>5</v>
      </c>
      <c r="K61" s="15">
        <v>1</v>
      </c>
      <c r="L61" s="16">
        <v>6582</v>
      </c>
      <c r="M61" s="16">
        <v>343</v>
      </c>
      <c r="N61" s="17">
        <f t="shared" si="6"/>
        <v>5.2111820115466424E-2</v>
      </c>
      <c r="O61" s="16">
        <v>53</v>
      </c>
      <c r="P61" s="16">
        <v>0</v>
      </c>
      <c r="Q61" s="18">
        <f t="shared" si="8"/>
        <v>0.15451895043731778</v>
      </c>
      <c r="R61" s="18">
        <f t="shared" si="9"/>
        <v>0</v>
      </c>
      <c r="S61" s="18">
        <f t="shared" si="7"/>
        <v>0.84548104956268222</v>
      </c>
    </row>
    <row r="62" spans="1:19" x14ac:dyDescent="0.25">
      <c r="A62" s="14" t="s">
        <v>115</v>
      </c>
      <c r="B62" s="14" t="s">
        <v>25</v>
      </c>
      <c r="C62" s="14" t="s">
        <v>22</v>
      </c>
      <c r="D62" s="15">
        <v>4</v>
      </c>
      <c r="E62" s="15">
        <v>11</v>
      </c>
      <c r="F62" s="14" t="s">
        <v>26</v>
      </c>
      <c r="G62" s="15">
        <v>0</v>
      </c>
      <c r="H62" s="15">
        <v>0</v>
      </c>
      <c r="I62" s="14" t="s">
        <v>26</v>
      </c>
      <c r="J62" s="15">
        <v>0</v>
      </c>
      <c r="K62" s="15">
        <v>0</v>
      </c>
      <c r="L62" s="16">
        <v>12151</v>
      </c>
      <c r="M62" s="16">
        <v>1986</v>
      </c>
      <c r="N62" s="17">
        <f t="shared" si="6"/>
        <v>0.16344333799687269</v>
      </c>
      <c r="O62" s="16">
        <v>0</v>
      </c>
      <c r="P62" s="16">
        <v>0</v>
      </c>
      <c r="Q62" s="18">
        <f t="shared" si="8"/>
        <v>0</v>
      </c>
      <c r="R62" s="18">
        <f t="shared" si="9"/>
        <v>0</v>
      </c>
      <c r="S62" s="18">
        <f t="shared" si="7"/>
        <v>1</v>
      </c>
    </row>
    <row r="63" spans="1:19" x14ac:dyDescent="0.25">
      <c r="A63" s="14" t="s">
        <v>116</v>
      </c>
      <c r="B63" s="14" t="s">
        <v>76</v>
      </c>
      <c r="C63" s="14" t="s">
        <v>22</v>
      </c>
      <c r="D63" s="15">
        <v>4</v>
      </c>
      <c r="E63" s="15">
        <v>18</v>
      </c>
      <c r="F63" s="14" t="s">
        <v>26</v>
      </c>
      <c r="G63" s="15">
        <v>0</v>
      </c>
      <c r="H63" s="15">
        <v>0</v>
      </c>
      <c r="I63" s="14" t="s">
        <v>26</v>
      </c>
      <c r="J63" s="15">
        <v>0</v>
      </c>
      <c r="K63" s="15">
        <v>0</v>
      </c>
      <c r="L63" s="16">
        <v>5225</v>
      </c>
      <c r="M63" s="16">
        <v>1893</v>
      </c>
      <c r="N63" s="17">
        <f t="shared" si="6"/>
        <v>0.36229665071770334</v>
      </c>
      <c r="O63" s="16">
        <v>0</v>
      </c>
      <c r="P63" s="16">
        <v>0</v>
      </c>
      <c r="Q63" s="18">
        <f t="shared" si="8"/>
        <v>0</v>
      </c>
      <c r="R63" s="18">
        <f t="shared" si="9"/>
        <v>0</v>
      </c>
      <c r="S63" s="18">
        <f t="shared" si="7"/>
        <v>1</v>
      </c>
    </row>
    <row r="64" spans="1:19" x14ac:dyDescent="0.25">
      <c r="A64" s="14" t="s">
        <v>117</v>
      </c>
      <c r="B64" s="14" t="s">
        <v>83</v>
      </c>
      <c r="C64" s="14" t="s">
        <v>22</v>
      </c>
      <c r="D64" s="15">
        <v>1</v>
      </c>
      <c r="E64" s="15">
        <v>8</v>
      </c>
      <c r="F64" s="14" t="s">
        <v>26</v>
      </c>
      <c r="G64" s="15">
        <v>0</v>
      </c>
      <c r="H64" s="15">
        <v>0</v>
      </c>
      <c r="I64" s="14" t="s">
        <v>26</v>
      </c>
      <c r="J64" s="15">
        <v>0</v>
      </c>
      <c r="K64" s="15">
        <v>0</v>
      </c>
      <c r="L64" s="16">
        <v>3377</v>
      </c>
      <c r="M64" s="16">
        <v>529</v>
      </c>
      <c r="N64" s="17">
        <f t="shared" si="6"/>
        <v>0.15664791234823808</v>
      </c>
      <c r="O64" s="16">
        <v>0</v>
      </c>
      <c r="P64" s="16">
        <v>0</v>
      </c>
      <c r="Q64" s="18">
        <f t="shared" si="8"/>
        <v>0</v>
      </c>
      <c r="R64" s="18">
        <f t="shared" si="9"/>
        <v>0</v>
      </c>
      <c r="S64" s="18">
        <f t="shared" si="7"/>
        <v>1</v>
      </c>
    </row>
    <row r="65" spans="1:19" x14ac:dyDescent="0.25">
      <c r="A65" s="14" t="s">
        <v>118</v>
      </c>
      <c r="B65" s="14" t="s">
        <v>38</v>
      </c>
      <c r="C65" s="14" t="s">
        <v>22</v>
      </c>
      <c r="D65" s="15">
        <v>2</v>
      </c>
      <c r="E65" s="15">
        <v>15</v>
      </c>
      <c r="F65" s="14" t="s">
        <v>22</v>
      </c>
      <c r="G65" s="15">
        <v>12</v>
      </c>
      <c r="H65" s="15">
        <v>3</v>
      </c>
      <c r="I65" s="14" t="s">
        <v>22</v>
      </c>
      <c r="J65" s="15">
        <v>1</v>
      </c>
      <c r="K65" s="15">
        <v>1</v>
      </c>
      <c r="L65" s="16">
        <v>4958</v>
      </c>
      <c r="M65" s="16">
        <v>2126</v>
      </c>
      <c r="N65" s="17">
        <f t="shared" si="6"/>
        <v>0.42880193626462282</v>
      </c>
      <c r="O65" s="16">
        <v>218</v>
      </c>
      <c r="P65" s="16">
        <v>53</v>
      </c>
      <c r="Q65" s="18">
        <f t="shared" si="8"/>
        <v>0.10253998118532455</v>
      </c>
      <c r="R65" s="18">
        <f t="shared" si="9"/>
        <v>2.4929444967074318E-2</v>
      </c>
      <c r="S65" s="18">
        <f t="shared" si="7"/>
        <v>0.87253057384760113</v>
      </c>
    </row>
    <row r="66" spans="1:19" x14ac:dyDescent="0.25">
      <c r="A66" s="14" t="s">
        <v>119</v>
      </c>
      <c r="B66" s="14" t="s">
        <v>21</v>
      </c>
      <c r="C66" s="14" t="s">
        <v>22</v>
      </c>
      <c r="D66" s="15">
        <v>8</v>
      </c>
      <c r="E66" s="15">
        <v>19</v>
      </c>
      <c r="F66" s="14" t="s">
        <v>22</v>
      </c>
      <c r="G66" s="15">
        <v>33</v>
      </c>
      <c r="H66" s="15">
        <v>5</v>
      </c>
      <c r="I66" s="14" t="s">
        <v>23</v>
      </c>
      <c r="J66" s="15">
        <v>13</v>
      </c>
      <c r="K66" s="15">
        <v>3</v>
      </c>
      <c r="L66" s="16">
        <v>8639</v>
      </c>
      <c r="M66" s="16">
        <v>2579</v>
      </c>
      <c r="N66" s="17">
        <f t="shared" ref="N66:N97" si="10">M66/L66</f>
        <v>0.29852992244472742</v>
      </c>
      <c r="O66" s="16">
        <v>1253</v>
      </c>
      <c r="P66" s="16">
        <v>0</v>
      </c>
      <c r="Q66" s="18">
        <f t="shared" si="8"/>
        <v>0.48584722760759985</v>
      </c>
      <c r="R66" s="18">
        <f t="shared" si="9"/>
        <v>0</v>
      </c>
      <c r="S66" s="18">
        <f t="shared" ref="S66:S97" si="11">1-Q66-R66</f>
        <v>0.5141527723924002</v>
      </c>
    </row>
    <row r="67" spans="1:19" x14ac:dyDescent="0.25">
      <c r="A67" s="14" t="s">
        <v>120</v>
      </c>
      <c r="B67" s="14" t="s">
        <v>121</v>
      </c>
      <c r="C67" s="14" t="s">
        <v>22</v>
      </c>
      <c r="D67" s="15">
        <v>6</v>
      </c>
      <c r="E67" s="15">
        <v>30</v>
      </c>
      <c r="F67" s="14" t="s">
        <v>22</v>
      </c>
      <c r="G67" s="15">
        <v>5</v>
      </c>
      <c r="H67" s="15">
        <v>2</v>
      </c>
      <c r="I67" s="14" t="s">
        <v>22</v>
      </c>
      <c r="J67" s="15">
        <v>6</v>
      </c>
      <c r="K67" s="15">
        <v>1</v>
      </c>
      <c r="L67" s="16">
        <v>6131</v>
      </c>
      <c r="M67" s="16">
        <v>2434</v>
      </c>
      <c r="N67" s="17">
        <f t="shared" si="10"/>
        <v>0.39699885826129505</v>
      </c>
      <c r="O67" s="16">
        <v>0</v>
      </c>
      <c r="P67" s="16">
        <v>4</v>
      </c>
      <c r="Q67" s="18">
        <f t="shared" si="8"/>
        <v>0</v>
      </c>
      <c r="R67" s="18">
        <f t="shared" si="9"/>
        <v>1.6433853738701725E-3</v>
      </c>
      <c r="S67" s="18">
        <f t="shared" si="11"/>
        <v>0.99835661462612979</v>
      </c>
    </row>
    <row r="68" spans="1:19" x14ac:dyDescent="0.25">
      <c r="A68" s="14" t="s">
        <v>122</v>
      </c>
      <c r="B68" s="14" t="s">
        <v>53</v>
      </c>
      <c r="C68" s="14" t="s">
        <v>22</v>
      </c>
      <c r="D68" s="15">
        <v>1</v>
      </c>
      <c r="E68" s="15">
        <v>13</v>
      </c>
      <c r="F68" s="14" t="s">
        <v>22</v>
      </c>
      <c r="G68" s="15">
        <v>23</v>
      </c>
      <c r="H68" s="15">
        <v>4</v>
      </c>
      <c r="I68" s="14" t="s">
        <v>22</v>
      </c>
      <c r="J68" s="15">
        <v>8</v>
      </c>
      <c r="K68" s="15">
        <v>4</v>
      </c>
      <c r="L68" s="16">
        <v>12554</v>
      </c>
      <c r="M68" s="16">
        <v>5288</v>
      </c>
      <c r="N68" s="17">
        <f t="shared" si="10"/>
        <v>0.42122032818225269</v>
      </c>
      <c r="O68" s="16">
        <v>1557</v>
      </c>
      <c r="P68" s="16">
        <v>1481</v>
      </c>
      <c r="Q68" s="18">
        <f t="shared" si="8"/>
        <v>0.29444024205748864</v>
      </c>
      <c r="R68" s="18">
        <f t="shared" si="9"/>
        <v>0.28006807866868383</v>
      </c>
      <c r="S68" s="18">
        <f t="shared" si="11"/>
        <v>0.42549167927382753</v>
      </c>
    </row>
    <row r="69" spans="1:19" x14ac:dyDescent="0.25">
      <c r="A69" s="14" t="s">
        <v>123</v>
      </c>
      <c r="B69" s="14" t="s">
        <v>34</v>
      </c>
      <c r="C69" s="14" t="s">
        <v>22</v>
      </c>
      <c r="D69" s="15">
        <v>4</v>
      </c>
      <c r="E69" s="15">
        <v>10</v>
      </c>
      <c r="F69" s="14" t="s">
        <v>22</v>
      </c>
      <c r="G69" s="15">
        <v>16</v>
      </c>
      <c r="H69" s="15">
        <v>5</v>
      </c>
      <c r="I69" s="14" t="s">
        <v>22</v>
      </c>
      <c r="J69" s="15">
        <v>15</v>
      </c>
      <c r="K69" s="15">
        <v>4</v>
      </c>
      <c r="L69" s="16">
        <v>2128</v>
      </c>
      <c r="M69" s="16">
        <v>1237</v>
      </c>
      <c r="N69" s="17">
        <f t="shared" si="10"/>
        <v>0.58129699248120303</v>
      </c>
      <c r="O69" s="16">
        <v>107</v>
      </c>
      <c r="P69" s="16">
        <v>1018</v>
      </c>
      <c r="Q69" s="18">
        <f t="shared" si="8"/>
        <v>8.6499595796281331E-2</v>
      </c>
      <c r="R69" s="18">
        <f t="shared" si="9"/>
        <v>0.82295877122069527</v>
      </c>
      <c r="S69" s="18">
        <f t="shared" si="11"/>
        <v>9.0541632983023423E-2</v>
      </c>
    </row>
    <row r="70" spans="1:19" x14ac:dyDescent="0.25">
      <c r="A70" s="14" t="s">
        <v>124</v>
      </c>
      <c r="B70" s="14" t="s">
        <v>83</v>
      </c>
      <c r="C70" s="14" t="s">
        <v>22</v>
      </c>
      <c r="D70" s="15">
        <v>12</v>
      </c>
      <c r="E70" s="15">
        <v>19</v>
      </c>
      <c r="F70" s="14" t="s">
        <v>22</v>
      </c>
      <c r="G70" s="15">
        <v>2</v>
      </c>
      <c r="H70" s="15">
        <v>1</v>
      </c>
      <c r="I70" s="14" t="s">
        <v>22</v>
      </c>
      <c r="J70" s="15">
        <v>12</v>
      </c>
      <c r="K70" s="15">
        <v>1</v>
      </c>
      <c r="L70" s="16">
        <v>27658</v>
      </c>
      <c r="M70" s="16">
        <v>2912</v>
      </c>
      <c r="N70" s="17">
        <f t="shared" si="10"/>
        <v>0.10528599320269</v>
      </c>
      <c r="O70" s="16">
        <v>512</v>
      </c>
      <c r="P70" s="16">
        <v>0</v>
      </c>
      <c r="Q70" s="18">
        <f t="shared" si="8"/>
        <v>0.17582417582417584</v>
      </c>
      <c r="R70" s="18">
        <f t="shared" si="9"/>
        <v>0</v>
      </c>
      <c r="S70" s="18">
        <f t="shared" si="11"/>
        <v>0.82417582417582413</v>
      </c>
    </row>
  </sheetData>
  <autoFilter ref="A1:S70" xr:uid="{00000000-0009-0000-0000-000004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55E4-A9EF-4071-9158-D6BD84B5D9F0}">
  <dimension ref="A1:S71"/>
  <sheetViews>
    <sheetView tabSelected="1" workbookViewId="0">
      <selection activeCell="AB10" sqref="AB10"/>
    </sheetView>
  </sheetViews>
  <sheetFormatPr defaultColWidth="8.7109375" defaultRowHeight="15" x14ac:dyDescent="0.2"/>
  <cols>
    <col min="1" max="1" width="11.42578125" style="6" customWidth="1"/>
    <col min="2" max="2" width="4.42578125" style="6" customWidth="1"/>
    <col min="3" max="3" width="8.140625" style="6" customWidth="1"/>
    <col min="4" max="4" width="7.7109375" style="7" customWidth="1"/>
    <col min="5" max="5" width="5.7109375" style="7" customWidth="1"/>
    <col min="6" max="6" width="8.140625" style="6" customWidth="1"/>
    <col min="7" max="7" width="5.7109375" style="7" customWidth="1"/>
    <col min="8" max="8" width="6.7109375" style="7" customWidth="1"/>
    <col min="9" max="9" width="8.5703125" style="6" customWidth="1"/>
    <col min="10" max="10" width="5.7109375" style="7" customWidth="1"/>
    <col min="11" max="11" width="6.7109375" style="7" customWidth="1"/>
    <col min="12" max="12" width="6.42578125" style="8" customWidth="1"/>
    <col min="13" max="13" width="6.85546875" style="8" customWidth="1"/>
    <col min="14" max="14" width="6.42578125" style="9" customWidth="1"/>
    <col min="15" max="15" width="7.7109375" style="7" customWidth="1"/>
    <col min="16" max="16" width="5.85546875" style="7" customWidth="1"/>
    <col min="17" max="17" width="7.28515625" style="7" customWidth="1"/>
    <col min="18" max="18" width="7.5703125" style="7" customWidth="1"/>
    <col min="19" max="19" width="7.42578125" style="7" customWidth="1"/>
    <col min="20" max="16383" width="8.7109375" style="7"/>
    <col min="16384" max="16384" width="11.5703125" style="7" customWidth="1"/>
  </cols>
  <sheetData>
    <row r="1" spans="1:19" ht="12.75" x14ac:dyDescent="0.2">
      <c r="A1" s="5" t="s">
        <v>0</v>
      </c>
      <c r="B1" s="5"/>
      <c r="C1" s="4" t="s">
        <v>1</v>
      </c>
      <c r="D1" s="4"/>
      <c r="E1" s="4"/>
      <c r="F1" s="3" t="s">
        <v>2</v>
      </c>
      <c r="G1" s="3"/>
      <c r="H1" s="3"/>
      <c r="I1" s="2" t="s">
        <v>3</v>
      </c>
      <c r="J1" s="2"/>
      <c r="K1" s="2"/>
      <c r="L1" s="1" t="s">
        <v>4</v>
      </c>
      <c r="M1" s="1"/>
      <c r="N1" s="1"/>
      <c r="O1" s="1"/>
      <c r="P1" s="1"/>
      <c r="Q1" s="1"/>
      <c r="R1" s="1"/>
      <c r="S1" s="1"/>
    </row>
    <row r="2" spans="1:19" ht="12.75" x14ac:dyDescent="0.2">
      <c r="A2" s="10" t="s">
        <v>5</v>
      </c>
      <c r="B2" s="10" t="s">
        <v>6</v>
      </c>
      <c r="C2" s="10" t="s">
        <v>7</v>
      </c>
      <c r="D2" s="11" t="s">
        <v>8</v>
      </c>
      <c r="E2" s="11" t="s">
        <v>9</v>
      </c>
      <c r="F2" s="10" t="s">
        <v>7</v>
      </c>
      <c r="G2" s="11" t="s">
        <v>9</v>
      </c>
      <c r="H2" s="11" t="s">
        <v>10</v>
      </c>
      <c r="I2" s="10" t="s">
        <v>11</v>
      </c>
      <c r="J2" s="11" t="s">
        <v>9</v>
      </c>
      <c r="K2" s="11" t="s">
        <v>10</v>
      </c>
      <c r="L2" s="12" t="s">
        <v>12</v>
      </c>
      <c r="M2" s="12" t="s">
        <v>13</v>
      </c>
      <c r="N2" s="13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</row>
    <row r="3" spans="1:19" ht="12.75" x14ac:dyDescent="0.2">
      <c r="A3" s="14" t="s">
        <v>20</v>
      </c>
      <c r="B3" s="14" t="s">
        <v>21</v>
      </c>
      <c r="C3" s="14" t="s">
        <v>22</v>
      </c>
      <c r="D3" s="15">
        <v>3</v>
      </c>
      <c r="E3" s="15">
        <v>17</v>
      </c>
      <c r="F3" s="14" t="s">
        <v>22</v>
      </c>
      <c r="G3" s="15">
        <v>15</v>
      </c>
      <c r="H3" s="15">
        <v>3</v>
      </c>
      <c r="I3" s="14" t="s">
        <v>23</v>
      </c>
      <c r="J3" s="15">
        <v>6</v>
      </c>
      <c r="K3" s="15">
        <v>1</v>
      </c>
      <c r="L3" s="16">
        <v>7724</v>
      </c>
      <c r="M3" s="16">
        <v>1777</v>
      </c>
      <c r="N3" s="17">
        <f t="shared" ref="N3:N66" si="0">M3/L3</f>
        <v>0.23006214396685656</v>
      </c>
      <c r="O3" s="16">
        <v>221</v>
      </c>
      <c r="P3" s="16">
        <v>0</v>
      </c>
      <c r="Q3" s="18">
        <f t="shared" ref="Q3:R11" si="1">O3/$M3</f>
        <v>0.12436691052335397</v>
      </c>
      <c r="R3" s="18">
        <f t="shared" si="1"/>
        <v>0</v>
      </c>
      <c r="S3" s="18">
        <f t="shared" ref="S3:S66" si="2">1-Q3-R3</f>
        <v>0.87563308947664598</v>
      </c>
    </row>
    <row r="4" spans="1:19" ht="12.75" x14ac:dyDescent="0.2">
      <c r="A4" s="14" t="s">
        <v>24</v>
      </c>
      <c r="B4" s="14" t="s">
        <v>25</v>
      </c>
      <c r="C4" s="14" t="s">
        <v>22</v>
      </c>
      <c r="D4" s="15">
        <v>2</v>
      </c>
      <c r="E4" s="15">
        <v>8</v>
      </c>
      <c r="F4" s="14" t="s">
        <v>26</v>
      </c>
      <c r="G4" s="15">
        <v>0</v>
      </c>
      <c r="H4" s="15">
        <v>0</v>
      </c>
      <c r="I4" s="14" t="s">
        <v>26</v>
      </c>
      <c r="J4" s="15">
        <v>0</v>
      </c>
      <c r="K4" s="15">
        <v>0</v>
      </c>
      <c r="L4" s="16">
        <v>15412</v>
      </c>
      <c r="M4" s="16">
        <v>1006</v>
      </c>
      <c r="N4" s="17">
        <f t="shared" si="0"/>
        <v>6.527381261354788E-2</v>
      </c>
      <c r="O4" s="16">
        <v>0</v>
      </c>
      <c r="P4" s="16">
        <v>0</v>
      </c>
      <c r="Q4" s="18">
        <f t="shared" si="1"/>
        <v>0</v>
      </c>
      <c r="R4" s="18">
        <f t="shared" si="1"/>
        <v>0</v>
      </c>
      <c r="S4" s="18">
        <f t="shared" si="2"/>
        <v>1</v>
      </c>
    </row>
    <row r="5" spans="1:19" ht="12.75" x14ac:dyDescent="0.2">
      <c r="A5" s="14" t="s">
        <v>27</v>
      </c>
      <c r="B5" s="14" t="s">
        <v>28</v>
      </c>
      <c r="C5" s="14" t="s">
        <v>22</v>
      </c>
      <c r="D5" s="15">
        <v>2</v>
      </c>
      <c r="E5" s="15">
        <v>25</v>
      </c>
      <c r="F5" s="14" t="s">
        <v>22</v>
      </c>
      <c r="G5" s="15">
        <v>8</v>
      </c>
      <c r="H5" s="15">
        <v>4</v>
      </c>
      <c r="I5" s="14" t="s">
        <v>23</v>
      </c>
      <c r="J5" s="15">
        <v>8</v>
      </c>
      <c r="K5" s="15">
        <v>2</v>
      </c>
      <c r="L5" s="16">
        <v>8524</v>
      </c>
      <c r="M5" s="16">
        <v>3719</v>
      </c>
      <c r="N5" s="17">
        <f t="shared" si="0"/>
        <v>0.43629751290473956</v>
      </c>
      <c r="O5" s="16">
        <v>315</v>
      </c>
      <c r="P5" s="16">
        <v>0</v>
      </c>
      <c r="Q5" s="18">
        <f t="shared" si="1"/>
        <v>8.4700188222640499E-2</v>
      </c>
      <c r="R5" s="18">
        <f t="shared" si="1"/>
        <v>0</v>
      </c>
      <c r="S5" s="18">
        <f t="shared" si="2"/>
        <v>0.91529981177735953</v>
      </c>
    </row>
    <row r="6" spans="1:19" ht="12.75" x14ac:dyDescent="0.2">
      <c r="A6" s="14" t="s">
        <v>31</v>
      </c>
      <c r="B6" s="14" t="s">
        <v>32</v>
      </c>
      <c r="C6" s="14" t="s">
        <v>22</v>
      </c>
      <c r="D6" s="15">
        <v>6</v>
      </c>
      <c r="E6" s="15">
        <v>37</v>
      </c>
      <c r="F6" s="14" t="s">
        <v>22</v>
      </c>
      <c r="G6" s="15">
        <v>3</v>
      </c>
      <c r="H6" s="15">
        <v>6</v>
      </c>
      <c r="I6" s="14" t="s">
        <v>22</v>
      </c>
      <c r="J6" s="15">
        <v>7</v>
      </c>
      <c r="K6" s="15">
        <v>6</v>
      </c>
      <c r="L6" s="16">
        <v>21034</v>
      </c>
      <c r="M6" s="16">
        <v>7907</v>
      </c>
      <c r="N6" s="17">
        <f t="shared" si="0"/>
        <v>0.37591518493867071</v>
      </c>
      <c r="O6" s="16">
        <v>480</v>
      </c>
      <c r="P6" s="16">
        <v>0</v>
      </c>
      <c r="Q6" s="18">
        <f t="shared" si="1"/>
        <v>6.0705703806753511E-2</v>
      </c>
      <c r="R6" s="18">
        <f t="shared" si="1"/>
        <v>0</v>
      </c>
      <c r="S6" s="18">
        <f t="shared" si="2"/>
        <v>0.93929429619324645</v>
      </c>
    </row>
    <row r="7" spans="1:19" ht="12.75" x14ac:dyDescent="0.2">
      <c r="A7" s="14" t="s">
        <v>33</v>
      </c>
      <c r="B7" s="14" t="s">
        <v>34</v>
      </c>
      <c r="C7" s="14" t="s">
        <v>22</v>
      </c>
      <c r="D7" s="15">
        <v>1</v>
      </c>
      <c r="E7" s="15">
        <v>2</v>
      </c>
      <c r="F7" s="14" t="s">
        <v>26</v>
      </c>
      <c r="G7" s="15">
        <v>0</v>
      </c>
      <c r="H7" s="15">
        <v>0</v>
      </c>
      <c r="I7" s="14" t="s">
        <v>26</v>
      </c>
      <c r="J7" s="15">
        <v>0</v>
      </c>
      <c r="K7" s="15">
        <v>0</v>
      </c>
      <c r="L7" s="16">
        <v>2679</v>
      </c>
      <c r="M7" s="16">
        <v>817</v>
      </c>
      <c r="N7" s="17">
        <f t="shared" si="0"/>
        <v>0.30496453900709219</v>
      </c>
      <c r="O7" s="16">
        <v>0</v>
      </c>
      <c r="P7" s="16">
        <v>0</v>
      </c>
      <c r="Q7" s="18">
        <f t="shared" si="1"/>
        <v>0</v>
      </c>
      <c r="R7" s="18">
        <f t="shared" si="1"/>
        <v>0</v>
      </c>
      <c r="S7" s="18">
        <f t="shared" si="2"/>
        <v>1</v>
      </c>
    </row>
    <row r="8" spans="1:19" ht="12.75" x14ac:dyDescent="0.2">
      <c r="A8" s="14" t="s">
        <v>35</v>
      </c>
      <c r="B8" s="14" t="s">
        <v>36</v>
      </c>
      <c r="C8" s="14" t="s">
        <v>22</v>
      </c>
      <c r="D8" s="15">
        <v>1</v>
      </c>
      <c r="E8" s="15">
        <v>22</v>
      </c>
      <c r="F8" s="14" t="s">
        <v>22</v>
      </c>
      <c r="G8" s="15">
        <v>28</v>
      </c>
      <c r="H8" s="15">
        <v>5</v>
      </c>
      <c r="I8" s="14" t="s">
        <v>23</v>
      </c>
      <c r="J8" s="15">
        <v>13</v>
      </c>
      <c r="K8" s="15">
        <v>3</v>
      </c>
      <c r="L8" s="16">
        <v>29457</v>
      </c>
      <c r="M8" s="16">
        <v>3214</v>
      </c>
      <c r="N8" s="17">
        <f t="shared" si="0"/>
        <v>0.10910819160131717</v>
      </c>
      <c r="O8" s="16">
        <v>1015</v>
      </c>
      <c r="P8" s="16">
        <v>0</v>
      </c>
      <c r="Q8" s="18">
        <f t="shared" si="1"/>
        <v>0.31580584940883633</v>
      </c>
      <c r="R8" s="18">
        <f t="shared" si="1"/>
        <v>0</v>
      </c>
      <c r="S8" s="18">
        <f t="shared" si="2"/>
        <v>0.68419415059116373</v>
      </c>
    </row>
    <row r="9" spans="1:19" ht="12.75" x14ac:dyDescent="0.2">
      <c r="A9" s="14" t="s">
        <v>37</v>
      </c>
      <c r="B9" s="14" t="s">
        <v>38</v>
      </c>
      <c r="C9" s="14" t="s">
        <v>22</v>
      </c>
      <c r="D9" s="15">
        <v>2</v>
      </c>
      <c r="E9" s="15">
        <v>29</v>
      </c>
      <c r="F9" s="14" t="s">
        <v>22</v>
      </c>
      <c r="G9" s="15">
        <v>17</v>
      </c>
      <c r="H9" s="15">
        <v>7</v>
      </c>
      <c r="I9" s="14" t="s">
        <v>39</v>
      </c>
      <c r="J9" s="15">
        <v>13</v>
      </c>
      <c r="K9" s="15">
        <v>6</v>
      </c>
      <c r="L9" s="16">
        <v>27780</v>
      </c>
      <c r="M9" s="16">
        <v>5327</v>
      </c>
      <c r="N9" s="17">
        <f t="shared" si="0"/>
        <v>0.19175665946724263</v>
      </c>
      <c r="O9" s="16">
        <v>363</v>
      </c>
      <c r="P9" s="16">
        <v>0</v>
      </c>
      <c r="Q9" s="18">
        <f t="shared" si="1"/>
        <v>6.8143420311620045E-2</v>
      </c>
      <c r="R9" s="18">
        <f t="shared" si="1"/>
        <v>0</v>
      </c>
      <c r="S9" s="18">
        <f t="shared" si="2"/>
        <v>0.93185657968837998</v>
      </c>
    </row>
    <row r="10" spans="1:19" ht="12.75" x14ac:dyDescent="0.2">
      <c r="A10" s="14" t="s">
        <v>40</v>
      </c>
      <c r="B10" s="14" t="s">
        <v>38</v>
      </c>
      <c r="C10" s="14" t="s">
        <v>22</v>
      </c>
      <c r="D10" s="15">
        <v>2</v>
      </c>
      <c r="E10" s="15">
        <v>9</v>
      </c>
      <c r="F10" s="14" t="s">
        <v>22</v>
      </c>
      <c r="G10" s="15">
        <v>10</v>
      </c>
      <c r="H10" s="15">
        <v>2</v>
      </c>
      <c r="I10" s="14" t="s">
        <v>23</v>
      </c>
      <c r="J10" s="15">
        <v>9</v>
      </c>
      <c r="K10" s="15">
        <v>2</v>
      </c>
      <c r="L10" s="16">
        <v>4450</v>
      </c>
      <c r="M10" s="16">
        <v>832</v>
      </c>
      <c r="N10" s="17">
        <f t="shared" si="0"/>
        <v>0.18696629213483146</v>
      </c>
      <c r="O10" s="16">
        <v>180</v>
      </c>
      <c r="P10" s="16">
        <v>0</v>
      </c>
      <c r="Q10" s="18">
        <f t="shared" si="1"/>
        <v>0.21634615384615385</v>
      </c>
      <c r="R10" s="18">
        <f t="shared" si="1"/>
        <v>0</v>
      </c>
      <c r="S10" s="18">
        <f t="shared" si="2"/>
        <v>0.78365384615384615</v>
      </c>
    </row>
    <row r="11" spans="1:19" ht="12.75" x14ac:dyDescent="0.2">
      <c r="A11" s="14" t="s">
        <v>43</v>
      </c>
      <c r="B11" s="14" t="s">
        <v>44</v>
      </c>
      <c r="C11" s="14" t="s">
        <v>22</v>
      </c>
      <c r="D11" s="15">
        <v>5</v>
      </c>
      <c r="E11" s="15">
        <v>29</v>
      </c>
      <c r="F11" s="14" t="s">
        <v>26</v>
      </c>
      <c r="G11" s="15">
        <v>0</v>
      </c>
      <c r="H11" s="15">
        <v>0</v>
      </c>
      <c r="I11" s="14" t="s">
        <v>26</v>
      </c>
      <c r="J11" s="15">
        <v>0</v>
      </c>
      <c r="K11" s="15">
        <v>0</v>
      </c>
      <c r="L11" s="16">
        <v>14135</v>
      </c>
      <c r="M11" s="16">
        <v>4239</v>
      </c>
      <c r="N11" s="17">
        <f t="shared" si="0"/>
        <v>0.29989388043862752</v>
      </c>
      <c r="O11" s="16">
        <v>0</v>
      </c>
      <c r="P11" s="16">
        <v>0</v>
      </c>
      <c r="Q11" s="18">
        <f t="shared" si="1"/>
        <v>0</v>
      </c>
      <c r="R11" s="18">
        <f t="shared" si="1"/>
        <v>0</v>
      </c>
      <c r="S11" s="18">
        <f t="shared" si="2"/>
        <v>1</v>
      </c>
    </row>
    <row r="12" spans="1:19" ht="12.75" x14ac:dyDescent="0.2">
      <c r="A12" s="14" t="s">
        <v>45</v>
      </c>
      <c r="B12" s="14" t="s">
        <v>21</v>
      </c>
      <c r="C12" s="14" t="s">
        <v>26</v>
      </c>
      <c r="D12" s="15">
        <v>0</v>
      </c>
      <c r="E12" s="15">
        <v>0</v>
      </c>
      <c r="F12" s="14" t="s">
        <v>26</v>
      </c>
      <c r="G12" s="15">
        <v>0</v>
      </c>
      <c r="H12" s="15">
        <v>0</v>
      </c>
      <c r="I12" s="14" t="s">
        <v>26</v>
      </c>
      <c r="J12" s="15">
        <v>0</v>
      </c>
      <c r="K12" s="15">
        <v>0</v>
      </c>
      <c r="L12" s="16">
        <v>2889</v>
      </c>
      <c r="M12" s="16">
        <v>0</v>
      </c>
      <c r="N12" s="17">
        <f t="shared" si="0"/>
        <v>0</v>
      </c>
      <c r="O12" s="16">
        <v>0</v>
      </c>
      <c r="P12" s="16">
        <v>0</v>
      </c>
      <c r="Q12" s="18">
        <v>0</v>
      </c>
      <c r="R12" s="18">
        <v>0</v>
      </c>
      <c r="S12" s="18">
        <f t="shared" si="2"/>
        <v>1</v>
      </c>
    </row>
    <row r="13" spans="1:19" ht="12.75" x14ac:dyDescent="0.2">
      <c r="A13" s="14" t="s">
        <v>46</v>
      </c>
      <c r="B13" s="14" t="s">
        <v>47</v>
      </c>
      <c r="C13" s="14" t="s">
        <v>22</v>
      </c>
      <c r="D13" s="15">
        <v>1</v>
      </c>
      <c r="E13" s="15">
        <v>5</v>
      </c>
      <c r="F13" s="14" t="s">
        <v>26</v>
      </c>
      <c r="G13" s="15">
        <v>0</v>
      </c>
      <c r="H13" s="15">
        <v>0</v>
      </c>
      <c r="I13" s="14" t="s">
        <v>26</v>
      </c>
      <c r="J13" s="15">
        <v>0</v>
      </c>
      <c r="K13" s="15">
        <v>0</v>
      </c>
      <c r="L13" s="16">
        <v>3995</v>
      </c>
      <c r="M13" s="16">
        <v>1002</v>
      </c>
      <c r="N13" s="17">
        <f t="shared" si="0"/>
        <v>0.25081351689612014</v>
      </c>
      <c r="O13" s="16">
        <v>0</v>
      </c>
      <c r="P13" s="16">
        <v>0</v>
      </c>
      <c r="Q13" s="18">
        <f t="shared" ref="Q13:R44" si="3">O13/$M13</f>
        <v>0</v>
      </c>
      <c r="R13" s="18">
        <f t="shared" si="3"/>
        <v>0</v>
      </c>
      <c r="S13" s="18">
        <f t="shared" si="2"/>
        <v>1</v>
      </c>
    </row>
    <row r="14" spans="1:19" ht="12.75" x14ac:dyDescent="0.2">
      <c r="A14" s="14" t="s">
        <v>54</v>
      </c>
      <c r="B14" s="14" t="s">
        <v>55</v>
      </c>
      <c r="C14" s="14" t="s">
        <v>22</v>
      </c>
      <c r="D14" s="15">
        <v>5</v>
      </c>
      <c r="E14" s="15">
        <v>31</v>
      </c>
      <c r="F14" s="14" t="s">
        <v>26</v>
      </c>
      <c r="G14" s="15">
        <v>0</v>
      </c>
      <c r="H14" s="15">
        <v>0</v>
      </c>
      <c r="I14" s="14" t="s">
        <v>26</v>
      </c>
      <c r="J14" s="15">
        <v>0</v>
      </c>
      <c r="K14" s="15">
        <v>0</v>
      </c>
      <c r="L14" s="16">
        <v>6038</v>
      </c>
      <c r="M14" s="16">
        <v>2239</v>
      </c>
      <c r="N14" s="17">
        <f t="shared" si="0"/>
        <v>0.37081815170586285</v>
      </c>
      <c r="O14" s="16">
        <v>0</v>
      </c>
      <c r="P14" s="16">
        <v>0</v>
      </c>
      <c r="Q14" s="18">
        <f t="shared" si="3"/>
        <v>0</v>
      </c>
      <c r="R14" s="18">
        <f t="shared" si="3"/>
        <v>0</v>
      </c>
      <c r="S14" s="18">
        <f t="shared" si="2"/>
        <v>1</v>
      </c>
    </row>
    <row r="15" spans="1:19" ht="12.75" x14ac:dyDescent="0.2">
      <c r="A15" s="14" t="s">
        <v>57</v>
      </c>
      <c r="B15" s="14" t="s">
        <v>58</v>
      </c>
      <c r="C15" s="14" t="s">
        <v>22</v>
      </c>
      <c r="D15" s="15">
        <v>1</v>
      </c>
      <c r="E15" s="15">
        <v>14</v>
      </c>
      <c r="F15" s="14" t="s">
        <v>22</v>
      </c>
      <c r="G15" s="15">
        <v>11</v>
      </c>
      <c r="H15" s="15">
        <v>4</v>
      </c>
      <c r="I15" s="14" t="s">
        <v>59</v>
      </c>
      <c r="J15" s="15">
        <v>10</v>
      </c>
      <c r="K15" s="15">
        <v>3</v>
      </c>
      <c r="L15" s="16">
        <v>6076</v>
      </c>
      <c r="M15" s="16">
        <v>1590</v>
      </c>
      <c r="N15" s="17">
        <f t="shared" si="0"/>
        <v>0.2616853192890059</v>
      </c>
      <c r="O15" s="16">
        <v>251</v>
      </c>
      <c r="P15" s="16">
        <v>0</v>
      </c>
      <c r="Q15" s="18">
        <f t="shared" si="3"/>
        <v>0.15786163522012578</v>
      </c>
      <c r="R15" s="18">
        <f t="shared" si="3"/>
        <v>0</v>
      </c>
      <c r="S15" s="18">
        <f t="shared" si="2"/>
        <v>0.84213836477987425</v>
      </c>
    </row>
    <row r="16" spans="1:19" ht="12.75" x14ac:dyDescent="0.2">
      <c r="A16" s="14" t="s">
        <v>60</v>
      </c>
      <c r="B16" s="14" t="s">
        <v>42</v>
      </c>
      <c r="C16" s="14" t="s">
        <v>22</v>
      </c>
      <c r="D16" s="15">
        <v>1</v>
      </c>
      <c r="E16" s="15">
        <v>10</v>
      </c>
      <c r="F16" s="14" t="s">
        <v>26</v>
      </c>
      <c r="G16" s="15">
        <v>0</v>
      </c>
      <c r="H16" s="15">
        <v>0</v>
      </c>
      <c r="I16" s="14" t="s">
        <v>26</v>
      </c>
      <c r="J16" s="15">
        <v>0</v>
      </c>
      <c r="K16" s="15">
        <v>0</v>
      </c>
      <c r="L16" s="16">
        <v>3045</v>
      </c>
      <c r="M16" s="16">
        <v>558</v>
      </c>
      <c r="N16" s="17">
        <f t="shared" si="0"/>
        <v>0.18325123152709361</v>
      </c>
      <c r="O16" s="16">
        <v>0</v>
      </c>
      <c r="P16" s="16">
        <v>0</v>
      </c>
      <c r="Q16" s="18">
        <f t="shared" si="3"/>
        <v>0</v>
      </c>
      <c r="R16" s="18">
        <f t="shared" si="3"/>
        <v>0</v>
      </c>
      <c r="S16" s="18">
        <f t="shared" si="2"/>
        <v>1</v>
      </c>
    </row>
    <row r="17" spans="1:19" ht="12.75" x14ac:dyDescent="0.2">
      <c r="A17" s="14" t="s">
        <v>66</v>
      </c>
      <c r="B17" s="14" t="s">
        <v>62</v>
      </c>
      <c r="C17" s="14" t="s">
        <v>22</v>
      </c>
      <c r="D17" s="15">
        <v>1</v>
      </c>
      <c r="E17" s="15">
        <v>20</v>
      </c>
      <c r="F17" s="14" t="s">
        <v>22</v>
      </c>
      <c r="G17" s="15">
        <v>3</v>
      </c>
      <c r="H17" s="15">
        <v>2</v>
      </c>
      <c r="I17" s="14" t="s">
        <v>67</v>
      </c>
      <c r="J17" s="15">
        <v>1</v>
      </c>
      <c r="K17" s="15">
        <v>2</v>
      </c>
      <c r="L17" s="16">
        <v>33909</v>
      </c>
      <c r="M17" s="16">
        <v>4901</v>
      </c>
      <c r="N17" s="17">
        <f t="shared" si="0"/>
        <v>0.14453389955469048</v>
      </c>
      <c r="O17" s="16">
        <v>16</v>
      </c>
      <c r="P17" s="16">
        <v>0</v>
      </c>
      <c r="Q17" s="18">
        <f t="shared" si="3"/>
        <v>3.2646398694144052E-3</v>
      </c>
      <c r="R17" s="18">
        <f t="shared" si="3"/>
        <v>0</v>
      </c>
      <c r="S17" s="18">
        <f t="shared" si="2"/>
        <v>0.99673536013058561</v>
      </c>
    </row>
    <row r="18" spans="1:19" ht="12.75" x14ac:dyDescent="0.2">
      <c r="A18" s="14" t="s">
        <v>68</v>
      </c>
      <c r="B18" s="14" t="s">
        <v>58</v>
      </c>
      <c r="C18" s="14" t="s">
        <v>22</v>
      </c>
      <c r="D18" s="15">
        <v>9</v>
      </c>
      <c r="E18" s="15">
        <v>50</v>
      </c>
      <c r="F18" s="14" t="s">
        <v>22</v>
      </c>
      <c r="G18" s="15">
        <v>15</v>
      </c>
      <c r="H18" s="15">
        <v>3</v>
      </c>
      <c r="I18" s="14" t="s">
        <v>23</v>
      </c>
      <c r="J18" s="15">
        <v>15</v>
      </c>
      <c r="K18" s="15">
        <v>3</v>
      </c>
      <c r="L18" s="16">
        <v>26636</v>
      </c>
      <c r="M18" s="16">
        <v>6916</v>
      </c>
      <c r="N18" s="17">
        <f t="shared" si="0"/>
        <v>0.25964859588526806</v>
      </c>
      <c r="O18" s="16">
        <v>1748</v>
      </c>
      <c r="P18" s="16">
        <v>0</v>
      </c>
      <c r="Q18" s="18">
        <f t="shared" si="3"/>
        <v>0.25274725274725274</v>
      </c>
      <c r="R18" s="18">
        <f t="shared" si="3"/>
        <v>0</v>
      </c>
      <c r="S18" s="18">
        <f t="shared" si="2"/>
        <v>0.74725274725274726</v>
      </c>
    </row>
    <row r="19" spans="1:19" ht="12.75" x14ac:dyDescent="0.2">
      <c r="A19" s="14" t="s">
        <v>71</v>
      </c>
      <c r="B19" s="14" t="s">
        <v>72</v>
      </c>
      <c r="C19" s="14" t="s">
        <v>22</v>
      </c>
      <c r="D19" s="15">
        <v>2</v>
      </c>
      <c r="E19" s="15">
        <v>12</v>
      </c>
      <c r="F19" s="14" t="s">
        <v>26</v>
      </c>
      <c r="G19" s="15">
        <v>0</v>
      </c>
      <c r="H19" s="15">
        <v>0</v>
      </c>
      <c r="I19" s="14" t="s">
        <v>26</v>
      </c>
      <c r="J19" s="15">
        <v>0</v>
      </c>
      <c r="K19" s="15">
        <v>0</v>
      </c>
      <c r="L19" s="16">
        <v>3432</v>
      </c>
      <c r="M19" s="16">
        <v>1917</v>
      </c>
      <c r="N19" s="17">
        <f t="shared" si="0"/>
        <v>0.55856643356643354</v>
      </c>
      <c r="O19" s="16">
        <v>0</v>
      </c>
      <c r="P19" s="16">
        <v>0</v>
      </c>
      <c r="Q19" s="18">
        <f t="shared" si="3"/>
        <v>0</v>
      </c>
      <c r="R19" s="18">
        <f t="shared" si="3"/>
        <v>0</v>
      </c>
      <c r="S19" s="18">
        <f t="shared" si="2"/>
        <v>1</v>
      </c>
    </row>
    <row r="20" spans="1:19" ht="12.75" x14ac:dyDescent="0.2">
      <c r="A20" s="14" t="s">
        <v>73</v>
      </c>
      <c r="B20" s="14" t="s">
        <v>36</v>
      </c>
      <c r="C20" s="14" t="s">
        <v>22</v>
      </c>
      <c r="D20" s="15">
        <v>2</v>
      </c>
      <c r="E20" s="15">
        <v>7</v>
      </c>
      <c r="F20" s="14" t="s">
        <v>26</v>
      </c>
      <c r="G20" s="15">
        <v>0</v>
      </c>
      <c r="H20" s="15">
        <v>0</v>
      </c>
      <c r="I20" s="14" t="s">
        <v>26</v>
      </c>
      <c r="J20" s="15">
        <v>0</v>
      </c>
      <c r="K20" s="15">
        <v>0</v>
      </c>
      <c r="L20" s="16">
        <v>3154</v>
      </c>
      <c r="M20" s="16">
        <v>311</v>
      </c>
      <c r="N20" s="17">
        <f t="shared" si="0"/>
        <v>9.860494610019023E-2</v>
      </c>
      <c r="O20" s="16">
        <v>0</v>
      </c>
      <c r="P20" s="16">
        <v>0</v>
      </c>
      <c r="Q20" s="18">
        <f t="shared" si="3"/>
        <v>0</v>
      </c>
      <c r="R20" s="18">
        <f t="shared" si="3"/>
        <v>0</v>
      </c>
      <c r="S20" s="18">
        <f t="shared" si="2"/>
        <v>1</v>
      </c>
    </row>
    <row r="21" spans="1:19" ht="12.75" x14ac:dyDescent="0.2">
      <c r="A21" s="14" t="s">
        <v>75</v>
      </c>
      <c r="B21" s="14" t="s">
        <v>76</v>
      </c>
      <c r="C21" s="14" t="s">
        <v>22</v>
      </c>
      <c r="D21" s="15">
        <v>2</v>
      </c>
      <c r="E21" s="15">
        <v>14</v>
      </c>
      <c r="F21" s="14" t="s">
        <v>26</v>
      </c>
      <c r="G21" s="15">
        <v>0</v>
      </c>
      <c r="H21" s="15">
        <v>0</v>
      </c>
      <c r="I21" s="14" t="s">
        <v>26</v>
      </c>
      <c r="J21" s="15">
        <v>0</v>
      </c>
      <c r="K21" s="15">
        <v>0</v>
      </c>
      <c r="L21" s="16">
        <v>6459</v>
      </c>
      <c r="M21" s="16">
        <v>1777</v>
      </c>
      <c r="N21" s="17">
        <f t="shared" si="0"/>
        <v>0.27511998761418177</v>
      </c>
      <c r="O21" s="16">
        <v>0</v>
      </c>
      <c r="P21" s="16">
        <v>0</v>
      </c>
      <c r="Q21" s="18">
        <f t="shared" si="3"/>
        <v>0</v>
      </c>
      <c r="R21" s="18">
        <f t="shared" si="3"/>
        <v>0</v>
      </c>
      <c r="S21" s="18">
        <f t="shared" si="2"/>
        <v>1</v>
      </c>
    </row>
    <row r="22" spans="1:19" ht="12.75" x14ac:dyDescent="0.2">
      <c r="A22" s="14" t="s">
        <v>77</v>
      </c>
      <c r="B22" s="14" t="s">
        <v>76</v>
      </c>
      <c r="C22" s="14" t="s">
        <v>22</v>
      </c>
      <c r="D22" s="15">
        <v>11</v>
      </c>
      <c r="E22" s="15">
        <v>71</v>
      </c>
      <c r="F22" s="14" t="s">
        <v>22</v>
      </c>
      <c r="G22" s="15">
        <v>1</v>
      </c>
      <c r="H22" s="15">
        <v>6</v>
      </c>
      <c r="I22" s="14" t="s">
        <v>22</v>
      </c>
      <c r="J22" s="15">
        <v>20</v>
      </c>
      <c r="K22" s="15">
        <v>6</v>
      </c>
      <c r="L22" s="16">
        <v>36068</v>
      </c>
      <c r="M22" s="16">
        <v>15981</v>
      </c>
      <c r="N22" s="17">
        <f t="shared" si="0"/>
        <v>0.44307973827215258</v>
      </c>
      <c r="O22" s="16">
        <v>1613</v>
      </c>
      <c r="P22" s="16">
        <v>0</v>
      </c>
      <c r="Q22" s="18">
        <f t="shared" si="3"/>
        <v>0.1009323571741443</v>
      </c>
      <c r="R22" s="18">
        <f t="shared" si="3"/>
        <v>0</v>
      </c>
      <c r="S22" s="18">
        <f t="shared" si="2"/>
        <v>0.89906764282585572</v>
      </c>
    </row>
    <row r="23" spans="1:19" ht="12.75" x14ac:dyDescent="0.2">
      <c r="A23" s="14" t="s">
        <v>78</v>
      </c>
      <c r="B23" s="14" t="s">
        <v>44</v>
      </c>
      <c r="C23" s="14" t="s">
        <v>22</v>
      </c>
      <c r="D23" s="15">
        <v>5</v>
      </c>
      <c r="E23" s="15">
        <v>30</v>
      </c>
      <c r="F23" s="14" t="s">
        <v>22</v>
      </c>
      <c r="G23" s="15">
        <v>24</v>
      </c>
      <c r="H23" s="15">
        <v>9</v>
      </c>
      <c r="I23" s="14" t="s">
        <v>23</v>
      </c>
      <c r="J23" s="15">
        <v>13</v>
      </c>
      <c r="K23" s="15">
        <v>7</v>
      </c>
      <c r="L23" s="16">
        <v>27958</v>
      </c>
      <c r="M23" s="16">
        <v>7339</v>
      </c>
      <c r="N23" s="17">
        <f t="shared" si="0"/>
        <v>0.26250089419844053</v>
      </c>
      <c r="O23" s="16">
        <v>564</v>
      </c>
      <c r="P23" s="16">
        <v>0</v>
      </c>
      <c r="Q23" s="18">
        <f t="shared" si="3"/>
        <v>7.6849707044556473E-2</v>
      </c>
      <c r="R23" s="18">
        <f t="shared" si="3"/>
        <v>0</v>
      </c>
      <c r="S23" s="18">
        <f t="shared" si="2"/>
        <v>0.92315029295544349</v>
      </c>
    </row>
    <row r="24" spans="1:19" ht="12.75" x14ac:dyDescent="0.2">
      <c r="A24" s="14" t="s">
        <v>79</v>
      </c>
      <c r="B24" s="14" t="s">
        <v>34</v>
      </c>
      <c r="C24" s="14" t="s">
        <v>22</v>
      </c>
      <c r="D24" s="15">
        <v>3</v>
      </c>
      <c r="E24" s="15">
        <v>27</v>
      </c>
      <c r="F24" s="14" t="s">
        <v>22</v>
      </c>
      <c r="G24" s="15">
        <v>16</v>
      </c>
      <c r="H24" s="15">
        <v>7</v>
      </c>
      <c r="I24" s="14" t="s">
        <v>23</v>
      </c>
      <c r="J24" s="15">
        <v>21</v>
      </c>
      <c r="K24" s="15">
        <v>7</v>
      </c>
      <c r="L24" s="16">
        <v>31142</v>
      </c>
      <c r="M24" s="16">
        <v>7904</v>
      </c>
      <c r="N24" s="17">
        <f t="shared" si="0"/>
        <v>0.25380515060047526</v>
      </c>
      <c r="O24" s="16">
        <v>775</v>
      </c>
      <c r="P24" s="16">
        <v>0</v>
      </c>
      <c r="Q24" s="18">
        <f t="shared" si="3"/>
        <v>9.8051619433198386E-2</v>
      </c>
      <c r="R24" s="18">
        <f t="shared" si="3"/>
        <v>0</v>
      </c>
      <c r="S24" s="18">
        <f t="shared" si="2"/>
        <v>0.9019483805668016</v>
      </c>
    </row>
    <row r="25" spans="1:19" ht="12.75" x14ac:dyDescent="0.2">
      <c r="A25" s="14" t="s">
        <v>81</v>
      </c>
      <c r="B25" s="14" t="s">
        <v>47</v>
      </c>
      <c r="C25" s="14" t="s">
        <v>22</v>
      </c>
      <c r="D25" s="15">
        <v>4</v>
      </c>
      <c r="E25" s="15">
        <v>36</v>
      </c>
      <c r="F25" s="14" t="s">
        <v>22</v>
      </c>
      <c r="G25" s="15">
        <v>46</v>
      </c>
      <c r="H25" s="15">
        <v>12</v>
      </c>
      <c r="I25" s="14" t="s">
        <v>23</v>
      </c>
      <c r="J25" s="15">
        <v>32</v>
      </c>
      <c r="K25" s="15">
        <v>7</v>
      </c>
      <c r="L25" s="16">
        <v>20031</v>
      </c>
      <c r="M25" s="16">
        <v>8772</v>
      </c>
      <c r="N25" s="17">
        <f t="shared" si="0"/>
        <v>0.43792122210573609</v>
      </c>
      <c r="O25" s="16">
        <v>1271</v>
      </c>
      <c r="P25" s="16">
        <v>0</v>
      </c>
      <c r="Q25" s="18">
        <f t="shared" si="3"/>
        <v>0.14489284085727314</v>
      </c>
      <c r="R25" s="18">
        <f t="shared" si="3"/>
        <v>0</v>
      </c>
      <c r="S25" s="18">
        <f t="shared" si="2"/>
        <v>0.85510715914272684</v>
      </c>
    </row>
    <row r="26" spans="1:19" ht="12.75" x14ac:dyDescent="0.2">
      <c r="A26" s="14" t="s">
        <v>84</v>
      </c>
      <c r="B26" s="14" t="s">
        <v>70</v>
      </c>
      <c r="C26" s="14" t="s">
        <v>22</v>
      </c>
      <c r="D26" s="15">
        <v>1</v>
      </c>
      <c r="E26" s="15">
        <v>9</v>
      </c>
      <c r="F26" s="14" t="s">
        <v>26</v>
      </c>
      <c r="G26" s="15">
        <v>0</v>
      </c>
      <c r="H26" s="15">
        <v>0</v>
      </c>
      <c r="I26" s="14" t="s">
        <v>26</v>
      </c>
      <c r="J26" s="15">
        <v>0</v>
      </c>
      <c r="K26" s="15">
        <v>0</v>
      </c>
      <c r="L26" s="16">
        <v>3729</v>
      </c>
      <c r="M26" s="16">
        <v>822</v>
      </c>
      <c r="N26" s="17">
        <f t="shared" si="0"/>
        <v>0.22043443282381336</v>
      </c>
      <c r="O26" s="16">
        <v>0</v>
      </c>
      <c r="P26" s="16">
        <v>0</v>
      </c>
      <c r="Q26" s="18">
        <f t="shared" si="3"/>
        <v>0</v>
      </c>
      <c r="R26" s="18">
        <f t="shared" si="3"/>
        <v>0</v>
      </c>
      <c r="S26" s="18">
        <f t="shared" si="2"/>
        <v>1</v>
      </c>
    </row>
    <row r="27" spans="1:19" ht="12.75" x14ac:dyDescent="0.2">
      <c r="A27" s="14" t="s">
        <v>85</v>
      </c>
      <c r="B27" s="14" t="s">
        <v>76</v>
      </c>
      <c r="C27" s="14" t="s">
        <v>22</v>
      </c>
      <c r="D27" s="15">
        <v>4</v>
      </c>
      <c r="E27" s="15">
        <v>9</v>
      </c>
      <c r="F27" s="14" t="s">
        <v>22</v>
      </c>
      <c r="G27" s="15">
        <v>1</v>
      </c>
      <c r="H27" s="15">
        <v>1</v>
      </c>
      <c r="I27" s="14" t="s">
        <v>22</v>
      </c>
      <c r="J27" s="15">
        <v>10</v>
      </c>
      <c r="K27" s="15">
        <v>1</v>
      </c>
      <c r="L27" s="16">
        <v>9133</v>
      </c>
      <c r="M27" s="16">
        <v>1738</v>
      </c>
      <c r="N27" s="17">
        <f t="shared" si="0"/>
        <v>0.19029891601883281</v>
      </c>
      <c r="O27" s="16">
        <v>381</v>
      </c>
      <c r="P27" s="16">
        <v>0</v>
      </c>
      <c r="Q27" s="18">
        <f t="shared" si="3"/>
        <v>0.21921749136939012</v>
      </c>
      <c r="R27" s="18">
        <f t="shared" si="3"/>
        <v>0</v>
      </c>
      <c r="S27" s="18">
        <f t="shared" si="2"/>
        <v>0.78078250863060994</v>
      </c>
    </row>
    <row r="28" spans="1:19" ht="12.75" x14ac:dyDescent="0.2">
      <c r="A28" s="14" t="s">
        <v>86</v>
      </c>
      <c r="B28" s="14" t="s">
        <v>36</v>
      </c>
      <c r="C28" s="14" t="s">
        <v>22</v>
      </c>
      <c r="D28" s="15">
        <v>5</v>
      </c>
      <c r="E28" s="15">
        <v>18</v>
      </c>
      <c r="F28" s="14" t="s">
        <v>22</v>
      </c>
      <c r="G28" s="15">
        <v>12</v>
      </c>
      <c r="H28" s="15">
        <v>3</v>
      </c>
      <c r="I28" s="14" t="s">
        <v>23</v>
      </c>
      <c r="J28" s="15">
        <v>13</v>
      </c>
      <c r="K28" s="15">
        <v>3</v>
      </c>
      <c r="L28" s="16">
        <v>8513</v>
      </c>
      <c r="M28" s="16">
        <v>2828</v>
      </c>
      <c r="N28" s="17">
        <f t="shared" si="0"/>
        <v>0.33219781510630803</v>
      </c>
      <c r="O28" s="16">
        <v>381</v>
      </c>
      <c r="P28" s="16">
        <v>0</v>
      </c>
      <c r="Q28" s="18">
        <f t="shared" si="3"/>
        <v>0.13472418670438471</v>
      </c>
      <c r="R28" s="18">
        <f t="shared" si="3"/>
        <v>0</v>
      </c>
      <c r="S28" s="18">
        <f t="shared" si="2"/>
        <v>0.86527581329561531</v>
      </c>
    </row>
    <row r="29" spans="1:19" ht="12.75" x14ac:dyDescent="0.2">
      <c r="A29" s="14" t="s">
        <v>87</v>
      </c>
      <c r="B29" s="14" t="s">
        <v>21</v>
      </c>
      <c r="C29" s="14" t="s">
        <v>22</v>
      </c>
      <c r="D29" s="15">
        <v>2</v>
      </c>
      <c r="E29" s="15">
        <v>18</v>
      </c>
      <c r="F29" s="14" t="s">
        <v>22</v>
      </c>
      <c r="G29" s="15">
        <v>15</v>
      </c>
      <c r="H29" s="15">
        <v>7</v>
      </c>
      <c r="I29" s="14" t="s">
        <v>23</v>
      </c>
      <c r="J29" s="15">
        <v>10</v>
      </c>
      <c r="K29" s="15">
        <v>2</v>
      </c>
      <c r="L29" s="16">
        <v>27917</v>
      </c>
      <c r="M29" s="16">
        <v>3974</v>
      </c>
      <c r="N29" s="17">
        <f t="shared" si="0"/>
        <v>0.14235053909804063</v>
      </c>
      <c r="O29" s="16">
        <v>218</v>
      </c>
      <c r="P29" s="16">
        <v>0</v>
      </c>
      <c r="Q29" s="18">
        <f t="shared" si="3"/>
        <v>5.4856567689984904E-2</v>
      </c>
      <c r="R29" s="18">
        <f t="shared" si="3"/>
        <v>0</v>
      </c>
      <c r="S29" s="18">
        <f t="shared" si="2"/>
        <v>0.94514343231001507</v>
      </c>
    </row>
    <row r="30" spans="1:19" ht="12.75" x14ac:dyDescent="0.2">
      <c r="A30" s="14" t="s">
        <v>96</v>
      </c>
      <c r="B30" s="14" t="s">
        <v>36</v>
      </c>
      <c r="C30" s="14" t="s">
        <v>22</v>
      </c>
      <c r="D30" s="15">
        <v>3</v>
      </c>
      <c r="E30" s="15">
        <v>16</v>
      </c>
      <c r="F30" s="14" t="s">
        <v>26</v>
      </c>
      <c r="G30" s="15">
        <v>0</v>
      </c>
      <c r="H30" s="15">
        <v>0</v>
      </c>
      <c r="I30" s="14" t="s">
        <v>26</v>
      </c>
      <c r="J30" s="15">
        <v>0</v>
      </c>
      <c r="K30" s="15">
        <v>0</v>
      </c>
      <c r="L30" s="16">
        <v>3966</v>
      </c>
      <c r="M30" s="16">
        <v>1239</v>
      </c>
      <c r="N30" s="17">
        <f t="shared" si="0"/>
        <v>0.3124054462934947</v>
      </c>
      <c r="O30" s="16">
        <v>0</v>
      </c>
      <c r="P30" s="16">
        <v>0</v>
      </c>
      <c r="Q30" s="18">
        <f t="shared" si="3"/>
        <v>0</v>
      </c>
      <c r="R30" s="18">
        <f t="shared" si="3"/>
        <v>0</v>
      </c>
      <c r="S30" s="18">
        <f t="shared" si="2"/>
        <v>1</v>
      </c>
    </row>
    <row r="31" spans="1:19" ht="12.75" x14ac:dyDescent="0.2">
      <c r="A31" s="14" t="s">
        <v>101</v>
      </c>
      <c r="B31" s="14" t="s">
        <v>72</v>
      </c>
      <c r="C31" s="14" t="s">
        <v>22</v>
      </c>
      <c r="D31" s="15">
        <v>5</v>
      </c>
      <c r="E31" s="15">
        <v>18</v>
      </c>
      <c r="F31" s="14" t="s">
        <v>22</v>
      </c>
      <c r="G31" s="15">
        <v>18</v>
      </c>
      <c r="H31" s="15">
        <v>6</v>
      </c>
      <c r="I31" s="14" t="s">
        <v>23</v>
      </c>
      <c r="J31" s="15">
        <v>5</v>
      </c>
      <c r="K31" s="15">
        <v>1</v>
      </c>
      <c r="L31" s="16">
        <v>10104</v>
      </c>
      <c r="M31" s="16">
        <v>3530</v>
      </c>
      <c r="N31" s="17">
        <f t="shared" si="0"/>
        <v>0.34936658749010291</v>
      </c>
      <c r="O31" s="16">
        <v>1134</v>
      </c>
      <c r="P31" s="16">
        <v>0</v>
      </c>
      <c r="Q31" s="18">
        <f t="shared" si="3"/>
        <v>0.32124645892351272</v>
      </c>
      <c r="R31" s="18">
        <f t="shared" si="3"/>
        <v>0</v>
      </c>
      <c r="S31" s="18">
        <f t="shared" si="2"/>
        <v>0.67875354107648733</v>
      </c>
    </row>
    <row r="32" spans="1:19" ht="12.75" x14ac:dyDescent="0.2">
      <c r="A32" s="14" t="s">
        <v>103</v>
      </c>
      <c r="B32" s="14" t="s">
        <v>62</v>
      </c>
      <c r="C32" s="14" t="s">
        <v>22</v>
      </c>
      <c r="D32" s="15">
        <v>2</v>
      </c>
      <c r="E32" s="15">
        <v>26</v>
      </c>
      <c r="F32" s="14" t="s">
        <v>22</v>
      </c>
      <c r="G32" s="15">
        <v>14</v>
      </c>
      <c r="H32" s="15">
        <v>3</v>
      </c>
      <c r="I32" s="14" t="s">
        <v>59</v>
      </c>
      <c r="J32" s="15">
        <v>17</v>
      </c>
      <c r="K32" s="15">
        <v>3</v>
      </c>
      <c r="L32" s="16">
        <v>21716</v>
      </c>
      <c r="M32" s="16">
        <v>2359</v>
      </c>
      <c r="N32" s="17">
        <f t="shared" si="0"/>
        <v>0.10862958187511512</v>
      </c>
      <c r="O32" s="16">
        <v>117</v>
      </c>
      <c r="P32" s="16">
        <v>0</v>
      </c>
      <c r="Q32" s="18">
        <f t="shared" si="3"/>
        <v>4.959728698601102E-2</v>
      </c>
      <c r="R32" s="18">
        <f t="shared" si="3"/>
        <v>0</v>
      </c>
      <c r="S32" s="18">
        <f t="shared" si="2"/>
        <v>0.95040271301398893</v>
      </c>
    </row>
    <row r="33" spans="1:19" ht="12.75" x14ac:dyDescent="0.2">
      <c r="A33" s="14" t="s">
        <v>104</v>
      </c>
      <c r="B33" s="14" t="s">
        <v>62</v>
      </c>
      <c r="C33" s="14" t="s">
        <v>22</v>
      </c>
      <c r="D33" s="15">
        <v>2</v>
      </c>
      <c r="E33" s="15">
        <v>21</v>
      </c>
      <c r="F33" s="14" t="s">
        <v>105</v>
      </c>
      <c r="G33" s="15">
        <v>5</v>
      </c>
      <c r="H33" s="15">
        <v>2</v>
      </c>
      <c r="I33" s="14" t="s">
        <v>26</v>
      </c>
      <c r="J33" s="15">
        <v>0</v>
      </c>
      <c r="K33" s="15">
        <v>0</v>
      </c>
      <c r="L33" s="16">
        <v>13257</v>
      </c>
      <c r="M33" s="16">
        <v>2321</v>
      </c>
      <c r="N33" s="17">
        <f t="shared" si="0"/>
        <v>0.17507731764350909</v>
      </c>
      <c r="O33" s="16">
        <v>0</v>
      </c>
      <c r="P33" s="16">
        <v>0</v>
      </c>
      <c r="Q33" s="18">
        <f t="shared" si="3"/>
        <v>0</v>
      </c>
      <c r="R33" s="18">
        <f t="shared" si="3"/>
        <v>0</v>
      </c>
      <c r="S33" s="18">
        <f t="shared" si="2"/>
        <v>1</v>
      </c>
    </row>
    <row r="34" spans="1:19" ht="12.75" x14ac:dyDescent="0.2">
      <c r="A34" s="14" t="s">
        <v>107</v>
      </c>
      <c r="B34" s="14" t="s">
        <v>108</v>
      </c>
      <c r="C34" s="14" t="s">
        <v>22</v>
      </c>
      <c r="D34" s="15">
        <v>1</v>
      </c>
      <c r="E34" s="15">
        <v>33</v>
      </c>
      <c r="F34" s="14" t="s">
        <v>22</v>
      </c>
      <c r="G34" s="15">
        <v>27</v>
      </c>
      <c r="H34" s="15">
        <v>8</v>
      </c>
      <c r="I34" s="14" t="s">
        <v>23</v>
      </c>
      <c r="J34" s="15">
        <v>24</v>
      </c>
      <c r="K34" s="15">
        <v>5</v>
      </c>
      <c r="L34" s="16">
        <v>39509</v>
      </c>
      <c r="M34" s="16">
        <v>8115</v>
      </c>
      <c r="N34" s="17">
        <f t="shared" si="0"/>
        <v>0.20539623883165861</v>
      </c>
      <c r="O34" s="16">
        <v>986</v>
      </c>
      <c r="P34" s="16">
        <v>0</v>
      </c>
      <c r="Q34" s="18">
        <f t="shared" si="3"/>
        <v>0.1215033887861984</v>
      </c>
      <c r="R34" s="18">
        <f t="shared" si="3"/>
        <v>0</v>
      </c>
      <c r="S34" s="18">
        <f t="shared" si="2"/>
        <v>0.87849661121380163</v>
      </c>
    </row>
    <row r="35" spans="1:19" ht="12.75" x14ac:dyDescent="0.2">
      <c r="A35" s="14" t="s">
        <v>109</v>
      </c>
      <c r="B35" s="14" t="s">
        <v>62</v>
      </c>
      <c r="C35" s="14" t="s">
        <v>22</v>
      </c>
      <c r="D35" s="15">
        <v>1</v>
      </c>
      <c r="E35" s="15">
        <v>12</v>
      </c>
      <c r="F35" s="14" t="s">
        <v>110</v>
      </c>
      <c r="G35" s="15">
        <v>4</v>
      </c>
      <c r="H35" s="15">
        <v>3</v>
      </c>
      <c r="I35" s="14" t="s">
        <v>111</v>
      </c>
      <c r="J35" s="15">
        <v>6</v>
      </c>
      <c r="K35" s="15">
        <v>2</v>
      </c>
      <c r="L35" s="16">
        <v>6044</v>
      </c>
      <c r="M35" s="16">
        <v>878</v>
      </c>
      <c r="N35" s="17">
        <f t="shared" si="0"/>
        <v>0.14526803441429517</v>
      </c>
      <c r="O35" s="16">
        <v>0</v>
      </c>
      <c r="P35" s="16">
        <v>0</v>
      </c>
      <c r="Q35" s="18">
        <f t="shared" si="3"/>
        <v>0</v>
      </c>
      <c r="R35" s="18">
        <f t="shared" si="3"/>
        <v>0</v>
      </c>
      <c r="S35" s="18">
        <f t="shared" si="2"/>
        <v>1</v>
      </c>
    </row>
    <row r="36" spans="1:19" ht="12.75" x14ac:dyDescent="0.2">
      <c r="A36" s="14" t="s">
        <v>112</v>
      </c>
      <c r="B36" s="14" t="s">
        <v>113</v>
      </c>
      <c r="C36" s="14" t="s">
        <v>22</v>
      </c>
      <c r="D36" s="15">
        <v>4</v>
      </c>
      <c r="E36" s="15">
        <v>24</v>
      </c>
      <c r="F36" s="14" t="s">
        <v>22</v>
      </c>
      <c r="G36" s="15">
        <v>4</v>
      </c>
      <c r="H36" s="15">
        <v>5</v>
      </c>
      <c r="I36" s="14" t="s">
        <v>23</v>
      </c>
      <c r="J36" s="15">
        <v>4</v>
      </c>
      <c r="K36" s="15">
        <v>5</v>
      </c>
      <c r="L36" s="16">
        <v>10894</v>
      </c>
      <c r="M36" s="16">
        <v>5805</v>
      </c>
      <c r="N36" s="17">
        <f t="shared" si="0"/>
        <v>0.53286212594088489</v>
      </c>
      <c r="O36" s="16">
        <v>1091</v>
      </c>
      <c r="P36" s="16">
        <v>0</v>
      </c>
      <c r="Q36" s="18">
        <f t="shared" si="3"/>
        <v>0.1879414298018949</v>
      </c>
      <c r="R36" s="18">
        <f t="shared" si="3"/>
        <v>0</v>
      </c>
      <c r="S36" s="18">
        <f t="shared" si="2"/>
        <v>0.81205857019810512</v>
      </c>
    </row>
    <row r="37" spans="1:19" ht="12.75" x14ac:dyDescent="0.2">
      <c r="A37" s="14" t="s">
        <v>114</v>
      </c>
      <c r="B37" s="14" t="s">
        <v>62</v>
      </c>
      <c r="C37" s="14" t="s">
        <v>22</v>
      </c>
      <c r="D37" s="15">
        <v>1</v>
      </c>
      <c r="E37" s="15">
        <v>4</v>
      </c>
      <c r="F37" s="14" t="s">
        <v>22</v>
      </c>
      <c r="G37" s="15">
        <v>8</v>
      </c>
      <c r="H37" s="15">
        <v>1</v>
      </c>
      <c r="I37" s="14" t="s">
        <v>110</v>
      </c>
      <c r="J37" s="15">
        <v>5</v>
      </c>
      <c r="K37" s="15">
        <v>1</v>
      </c>
      <c r="L37" s="16">
        <v>6582</v>
      </c>
      <c r="M37" s="16">
        <v>343</v>
      </c>
      <c r="N37" s="17">
        <f t="shared" si="0"/>
        <v>5.2111820115466424E-2</v>
      </c>
      <c r="O37" s="16">
        <v>53</v>
      </c>
      <c r="P37" s="16">
        <v>0</v>
      </c>
      <c r="Q37" s="18">
        <f t="shared" si="3"/>
        <v>0.15451895043731778</v>
      </c>
      <c r="R37" s="18">
        <f t="shared" si="3"/>
        <v>0</v>
      </c>
      <c r="S37" s="18">
        <f t="shared" si="2"/>
        <v>0.84548104956268222</v>
      </c>
    </row>
    <row r="38" spans="1:19" ht="12.75" x14ac:dyDescent="0.2">
      <c r="A38" s="14" t="s">
        <v>115</v>
      </c>
      <c r="B38" s="14" t="s">
        <v>25</v>
      </c>
      <c r="C38" s="14" t="s">
        <v>22</v>
      </c>
      <c r="D38" s="15">
        <v>4</v>
      </c>
      <c r="E38" s="15">
        <v>11</v>
      </c>
      <c r="F38" s="14" t="s">
        <v>26</v>
      </c>
      <c r="G38" s="15">
        <v>0</v>
      </c>
      <c r="H38" s="15">
        <v>0</v>
      </c>
      <c r="I38" s="14" t="s">
        <v>26</v>
      </c>
      <c r="J38" s="15">
        <v>0</v>
      </c>
      <c r="K38" s="15">
        <v>0</v>
      </c>
      <c r="L38" s="16">
        <v>12151</v>
      </c>
      <c r="M38" s="16">
        <v>1986</v>
      </c>
      <c r="N38" s="17">
        <f t="shared" si="0"/>
        <v>0.16344333799687269</v>
      </c>
      <c r="O38" s="16">
        <v>0</v>
      </c>
      <c r="P38" s="16">
        <v>0</v>
      </c>
      <c r="Q38" s="18">
        <f t="shared" si="3"/>
        <v>0</v>
      </c>
      <c r="R38" s="18">
        <f t="shared" si="3"/>
        <v>0</v>
      </c>
      <c r="S38" s="18">
        <f t="shared" si="2"/>
        <v>1</v>
      </c>
    </row>
    <row r="39" spans="1:19" ht="12.75" x14ac:dyDescent="0.2">
      <c r="A39" s="14" t="s">
        <v>116</v>
      </c>
      <c r="B39" s="14" t="s">
        <v>76</v>
      </c>
      <c r="C39" s="14" t="s">
        <v>22</v>
      </c>
      <c r="D39" s="15">
        <v>4</v>
      </c>
      <c r="E39" s="15">
        <v>18</v>
      </c>
      <c r="F39" s="14" t="s">
        <v>26</v>
      </c>
      <c r="G39" s="15">
        <v>0</v>
      </c>
      <c r="H39" s="15">
        <v>0</v>
      </c>
      <c r="I39" s="14" t="s">
        <v>26</v>
      </c>
      <c r="J39" s="15">
        <v>0</v>
      </c>
      <c r="K39" s="15">
        <v>0</v>
      </c>
      <c r="L39" s="16">
        <v>5225</v>
      </c>
      <c r="M39" s="16">
        <v>1893</v>
      </c>
      <c r="N39" s="17">
        <f t="shared" si="0"/>
        <v>0.36229665071770334</v>
      </c>
      <c r="O39" s="16">
        <v>0</v>
      </c>
      <c r="P39" s="16">
        <v>0</v>
      </c>
      <c r="Q39" s="18">
        <f t="shared" si="3"/>
        <v>0</v>
      </c>
      <c r="R39" s="18">
        <f t="shared" si="3"/>
        <v>0</v>
      </c>
      <c r="S39" s="18">
        <f t="shared" si="2"/>
        <v>1</v>
      </c>
    </row>
    <row r="40" spans="1:19" ht="12.75" x14ac:dyDescent="0.2">
      <c r="A40" s="14" t="s">
        <v>117</v>
      </c>
      <c r="B40" s="14" t="s">
        <v>83</v>
      </c>
      <c r="C40" s="14" t="s">
        <v>22</v>
      </c>
      <c r="D40" s="15">
        <v>1</v>
      </c>
      <c r="E40" s="15">
        <v>8</v>
      </c>
      <c r="F40" s="14" t="s">
        <v>26</v>
      </c>
      <c r="G40" s="15">
        <v>0</v>
      </c>
      <c r="H40" s="15">
        <v>0</v>
      </c>
      <c r="I40" s="14" t="s">
        <v>26</v>
      </c>
      <c r="J40" s="15">
        <v>0</v>
      </c>
      <c r="K40" s="15">
        <v>0</v>
      </c>
      <c r="L40" s="16">
        <v>3377</v>
      </c>
      <c r="M40" s="16">
        <v>529</v>
      </c>
      <c r="N40" s="17">
        <f t="shared" si="0"/>
        <v>0.15664791234823808</v>
      </c>
      <c r="O40" s="16">
        <v>0</v>
      </c>
      <c r="P40" s="16">
        <v>0</v>
      </c>
      <c r="Q40" s="18">
        <f t="shared" si="3"/>
        <v>0</v>
      </c>
      <c r="R40" s="18">
        <f t="shared" si="3"/>
        <v>0</v>
      </c>
      <c r="S40" s="18">
        <f t="shared" si="2"/>
        <v>1</v>
      </c>
    </row>
    <row r="41" spans="1:19" ht="12.75" x14ac:dyDescent="0.2">
      <c r="A41" s="14" t="s">
        <v>119</v>
      </c>
      <c r="B41" s="14" t="s">
        <v>21</v>
      </c>
      <c r="C41" s="14" t="s">
        <v>22</v>
      </c>
      <c r="D41" s="15">
        <v>8</v>
      </c>
      <c r="E41" s="15">
        <v>19</v>
      </c>
      <c r="F41" s="14" t="s">
        <v>22</v>
      </c>
      <c r="G41" s="15">
        <v>33</v>
      </c>
      <c r="H41" s="15">
        <v>5</v>
      </c>
      <c r="I41" s="14" t="s">
        <v>23</v>
      </c>
      <c r="J41" s="15">
        <v>13</v>
      </c>
      <c r="K41" s="15">
        <v>3</v>
      </c>
      <c r="L41" s="16">
        <v>8639</v>
      </c>
      <c r="M41" s="16">
        <v>2579</v>
      </c>
      <c r="N41" s="17">
        <f t="shared" si="0"/>
        <v>0.29852992244472742</v>
      </c>
      <c r="O41" s="16">
        <v>1253</v>
      </c>
      <c r="P41" s="16">
        <v>0</v>
      </c>
      <c r="Q41" s="18">
        <f t="shared" si="3"/>
        <v>0.48584722760759985</v>
      </c>
      <c r="R41" s="18">
        <f t="shared" si="3"/>
        <v>0</v>
      </c>
      <c r="S41" s="18">
        <f t="shared" si="2"/>
        <v>0.5141527723924002</v>
      </c>
    </row>
    <row r="42" spans="1:19" ht="12.75" x14ac:dyDescent="0.2">
      <c r="A42" s="14" t="s">
        <v>124</v>
      </c>
      <c r="B42" s="14" t="s">
        <v>83</v>
      </c>
      <c r="C42" s="14" t="s">
        <v>22</v>
      </c>
      <c r="D42" s="15">
        <v>12</v>
      </c>
      <c r="E42" s="15">
        <v>19</v>
      </c>
      <c r="F42" s="14" t="s">
        <v>22</v>
      </c>
      <c r="G42" s="15">
        <v>2</v>
      </c>
      <c r="H42" s="15">
        <v>1</v>
      </c>
      <c r="I42" s="14" t="s">
        <v>22</v>
      </c>
      <c r="J42" s="15">
        <v>12</v>
      </c>
      <c r="K42" s="15">
        <v>1</v>
      </c>
      <c r="L42" s="16">
        <v>27658</v>
      </c>
      <c r="M42" s="16">
        <v>2912</v>
      </c>
      <c r="N42" s="17">
        <f t="shared" si="0"/>
        <v>0.10528599320269</v>
      </c>
      <c r="O42" s="16">
        <v>512</v>
      </c>
      <c r="P42" s="16">
        <v>0</v>
      </c>
      <c r="Q42" s="18">
        <f t="shared" si="3"/>
        <v>0.17582417582417584</v>
      </c>
      <c r="R42" s="18">
        <f t="shared" si="3"/>
        <v>0</v>
      </c>
      <c r="S42" s="18">
        <f t="shared" si="2"/>
        <v>0.82417582417582413</v>
      </c>
    </row>
    <row r="43" spans="1:19" ht="12.75" x14ac:dyDescent="0.2">
      <c r="A43" s="14" t="s">
        <v>120</v>
      </c>
      <c r="B43" s="14" t="s">
        <v>121</v>
      </c>
      <c r="C43" s="14" t="s">
        <v>22</v>
      </c>
      <c r="D43" s="15">
        <v>6</v>
      </c>
      <c r="E43" s="15">
        <v>30</v>
      </c>
      <c r="F43" s="14" t="s">
        <v>22</v>
      </c>
      <c r="G43" s="15">
        <v>5</v>
      </c>
      <c r="H43" s="15">
        <v>2</v>
      </c>
      <c r="I43" s="14" t="s">
        <v>22</v>
      </c>
      <c r="J43" s="15">
        <v>6</v>
      </c>
      <c r="K43" s="15">
        <v>1</v>
      </c>
      <c r="L43" s="16">
        <v>6131</v>
      </c>
      <c r="M43" s="16">
        <v>2434</v>
      </c>
      <c r="N43" s="17">
        <f t="shared" si="0"/>
        <v>0.39699885826129505</v>
      </c>
      <c r="O43" s="16">
        <v>0</v>
      </c>
      <c r="P43" s="16">
        <v>4</v>
      </c>
      <c r="Q43" s="18">
        <f t="shared" si="3"/>
        <v>0</v>
      </c>
      <c r="R43" s="18">
        <f t="shared" si="3"/>
        <v>1.6433853738701725E-3</v>
      </c>
      <c r="S43" s="18">
        <f t="shared" si="2"/>
        <v>0.99835661462612979</v>
      </c>
    </row>
    <row r="44" spans="1:19" ht="12.75" x14ac:dyDescent="0.2">
      <c r="A44" s="14" t="s">
        <v>56</v>
      </c>
      <c r="B44" s="14" t="s">
        <v>42</v>
      </c>
      <c r="C44" s="14" t="s">
        <v>22</v>
      </c>
      <c r="D44" s="15">
        <v>2</v>
      </c>
      <c r="E44" s="15">
        <v>28</v>
      </c>
      <c r="F44" s="14" t="s">
        <v>22</v>
      </c>
      <c r="G44" s="15">
        <v>6</v>
      </c>
      <c r="H44" s="15">
        <v>3</v>
      </c>
      <c r="I44" s="14" t="s">
        <v>22</v>
      </c>
      <c r="J44" s="15">
        <v>5</v>
      </c>
      <c r="K44" s="15">
        <v>1</v>
      </c>
      <c r="L44" s="16">
        <v>17877</v>
      </c>
      <c r="M44" s="16">
        <v>3610</v>
      </c>
      <c r="N44" s="17">
        <f t="shared" si="0"/>
        <v>0.20193544778206635</v>
      </c>
      <c r="O44" s="16">
        <v>13</v>
      </c>
      <c r="P44" s="16">
        <v>50</v>
      </c>
      <c r="Q44" s="18">
        <f t="shared" si="3"/>
        <v>3.6011080332409972E-3</v>
      </c>
      <c r="R44" s="18">
        <f t="shared" si="3"/>
        <v>1.3850415512465374E-2</v>
      </c>
      <c r="S44" s="18">
        <f t="shared" si="2"/>
        <v>0.98254847645429366</v>
      </c>
    </row>
    <row r="45" spans="1:19" ht="12.75" x14ac:dyDescent="0.2">
      <c r="A45" s="14" t="s">
        <v>118</v>
      </c>
      <c r="B45" s="14" t="s">
        <v>38</v>
      </c>
      <c r="C45" s="14" t="s">
        <v>22</v>
      </c>
      <c r="D45" s="15">
        <v>2</v>
      </c>
      <c r="E45" s="15">
        <v>15</v>
      </c>
      <c r="F45" s="14" t="s">
        <v>22</v>
      </c>
      <c r="G45" s="15">
        <v>12</v>
      </c>
      <c r="H45" s="15">
        <v>3</v>
      </c>
      <c r="I45" s="14" t="s">
        <v>22</v>
      </c>
      <c r="J45" s="15">
        <v>1</v>
      </c>
      <c r="K45" s="15">
        <v>1</v>
      </c>
      <c r="L45" s="16">
        <v>4958</v>
      </c>
      <c r="M45" s="16">
        <v>2126</v>
      </c>
      <c r="N45" s="17">
        <f t="shared" si="0"/>
        <v>0.42880193626462282</v>
      </c>
      <c r="O45" s="16">
        <v>218</v>
      </c>
      <c r="P45" s="16">
        <v>53</v>
      </c>
      <c r="Q45" s="18">
        <f t="shared" ref="Q45:R71" si="4">O45/$M45</f>
        <v>0.10253998118532455</v>
      </c>
      <c r="R45" s="18">
        <f t="shared" si="4"/>
        <v>2.4929444967074318E-2</v>
      </c>
      <c r="S45" s="18">
        <f t="shared" si="2"/>
        <v>0.87253057384760113</v>
      </c>
    </row>
    <row r="46" spans="1:19" ht="12.75" x14ac:dyDescent="0.2">
      <c r="A46" s="14" t="s">
        <v>41</v>
      </c>
      <c r="B46" s="14" t="s">
        <v>42</v>
      </c>
      <c r="C46" s="14" t="s">
        <v>22</v>
      </c>
      <c r="D46" s="15">
        <v>1</v>
      </c>
      <c r="E46" s="15">
        <v>13</v>
      </c>
      <c r="F46" s="14" t="s">
        <v>22</v>
      </c>
      <c r="G46" s="15">
        <v>10</v>
      </c>
      <c r="H46" s="15">
        <v>1</v>
      </c>
      <c r="I46" s="14" t="s">
        <v>22</v>
      </c>
      <c r="J46" s="15">
        <v>6</v>
      </c>
      <c r="K46" s="15">
        <v>1</v>
      </c>
      <c r="L46" s="16">
        <v>2907</v>
      </c>
      <c r="M46" s="16">
        <v>1077</v>
      </c>
      <c r="N46" s="17">
        <f t="shared" si="0"/>
        <v>0.37048503611971106</v>
      </c>
      <c r="O46" s="16">
        <v>33</v>
      </c>
      <c r="P46" s="16">
        <v>64</v>
      </c>
      <c r="Q46" s="18">
        <f t="shared" si="4"/>
        <v>3.0640668523676879E-2</v>
      </c>
      <c r="R46" s="18">
        <f t="shared" si="4"/>
        <v>5.9424326833797586E-2</v>
      </c>
      <c r="S46" s="18">
        <f t="shared" si="2"/>
        <v>0.90993500464252552</v>
      </c>
    </row>
    <row r="47" spans="1:19" ht="12.75" x14ac:dyDescent="0.2">
      <c r="A47" s="14" t="s">
        <v>29</v>
      </c>
      <c r="B47" s="14" t="s">
        <v>30</v>
      </c>
      <c r="C47" s="14" t="s">
        <v>22</v>
      </c>
      <c r="D47" s="15">
        <v>4</v>
      </c>
      <c r="E47" s="15">
        <v>33</v>
      </c>
      <c r="F47" s="14" t="s">
        <v>22</v>
      </c>
      <c r="G47" s="15">
        <v>10</v>
      </c>
      <c r="H47" s="15">
        <v>6</v>
      </c>
      <c r="I47" s="14" t="s">
        <v>22</v>
      </c>
      <c r="J47" s="15">
        <v>11</v>
      </c>
      <c r="K47" s="15">
        <v>3</v>
      </c>
      <c r="L47" s="16">
        <v>23894</v>
      </c>
      <c r="M47" s="16">
        <v>8158</v>
      </c>
      <c r="N47" s="17">
        <f t="shared" si="0"/>
        <v>0.341424625428978</v>
      </c>
      <c r="O47" s="16">
        <v>166</v>
      </c>
      <c r="P47" s="16">
        <v>504</v>
      </c>
      <c r="Q47" s="18">
        <f t="shared" si="4"/>
        <v>2.0348124540328513E-2</v>
      </c>
      <c r="R47" s="18">
        <f t="shared" si="4"/>
        <v>6.1779848001961263E-2</v>
      </c>
      <c r="S47" s="18">
        <f t="shared" si="2"/>
        <v>0.91787202745771024</v>
      </c>
    </row>
    <row r="48" spans="1:19" ht="12.75" x14ac:dyDescent="0.2">
      <c r="A48" s="14" t="s">
        <v>93</v>
      </c>
      <c r="B48" s="14" t="s">
        <v>53</v>
      </c>
      <c r="C48" s="14" t="s">
        <v>22</v>
      </c>
      <c r="D48" s="15">
        <v>2</v>
      </c>
      <c r="E48" s="15">
        <v>21</v>
      </c>
      <c r="F48" s="14" t="s">
        <v>22</v>
      </c>
      <c r="G48" s="15">
        <v>10</v>
      </c>
      <c r="H48" s="15">
        <v>2</v>
      </c>
      <c r="I48" s="14" t="s">
        <v>22</v>
      </c>
      <c r="J48" s="15">
        <v>5</v>
      </c>
      <c r="K48" s="15">
        <v>1</v>
      </c>
      <c r="L48" s="16">
        <v>19708</v>
      </c>
      <c r="M48" s="16">
        <v>5463</v>
      </c>
      <c r="N48" s="17">
        <f t="shared" si="0"/>
        <v>0.27719707732900345</v>
      </c>
      <c r="O48" s="16">
        <v>376</v>
      </c>
      <c r="P48" s="16">
        <v>522</v>
      </c>
      <c r="Q48" s="18">
        <f t="shared" si="4"/>
        <v>6.8826652022698151E-2</v>
      </c>
      <c r="R48" s="18">
        <f t="shared" si="4"/>
        <v>9.5551894563426693E-2</v>
      </c>
      <c r="S48" s="18">
        <f t="shared" si="2"/>
        <v>0.83562145341387517</v>
      </c>
    </row>
    <row r="49" spans="1:19" ht="12.75" x14ac:dyDescent="0.2">
      <c r="A49" s="14" t="s">
        <v>91</v>
      </c>
      <c r="B49" s="14" t="s">
        <v>92</v>
      </c>
      <c r="C49" s="14" t="s">
        <v>22</v>
      </c>
      <c r="D49" s="15">
        <v>1</v>
      </c>
      <c r="E49" s="15">
        <v>20</v>
      </c>
      <c r="F49" s="14" t="s">
        <v>22</v>
      </c>
      <c r="G49" s="15">
        <v>9</v>
      </c>
      <c r="H49" s="15">
        <v>3</v>
      </c>
      <c r="I49" s="14" t="s">
        <v>22</v>
      </c>
      <c r="J49" s="15">
        <v>6</v>
      </c>
      <c r="K49" s="15">
        <v>1</v>
      </c>
      <c r="L49" s="16">
        <v>4797</v>
      </c>
      <c r="M49" s="16">
        <v>1587</v>
      </c>
      <c r="N49" s="17">
        <f t="shared" si="0"/>
        <v>0.33083176985616009</v>
      </c>
      <c r="O49" s="16">
        <v>128</v>
      </c>
      <c r="P49" s="16">
        <v>157</v>
      </c>
      <c r="Q49" s="18">
        <f t="shared" si="4"/>
        <v>8.0655324511657217E-2</v>
      </c>
      <c r="R49" s="18">
        <f t="shared" si="4"/>
        <v>9.8928796471329558E-2</v>
      </c>
      <c r="S49" s="18">
        <f t="shared" si="2"/>
        <v>0.82041587901701318</v>
      </c>
    </row>
    <row r="50" spans="1:19" ht="12.75" x14ac:dyDescent="0.2">
      <c r="A50" s="14" t="s">
        <v>63</v>
      </c>
      <c r="B50" s="14" t="s">
        <v>62</v>
      </c>
      <c r="C50" s="14" t="s">
        <v>22</v>
      </c>
      <c r="D50" s="15">
        <v>1</v>
      </c>
      <c r="E50" s="15">
        <v>9</v>
      </c>
      <c r="F50" s="14" t="s">
        <v>22</v>
      </c>
      <c r="G50" s="15">
        <v>10</v>
      </c>
      <c r="H50" s="15">
        <v>2</v>
      </c>
      <c r="I50" s="14" t="s">
        <v>22</v>
      </c>
      <c r="J50" s="15">
        <v>5</v>
      </c>
      <c r="K50" s="15">
        <v>1</v>
      </c>
      <c r="L50" s="16">
        <v>9196</v>
      </c>
      <c r="M50" s="16">
        <v>1308</v>
      </c>
      <c r="N50" s="17">
        <f t="shared" si="0"/>
        <v>0.14223575467594607</v>
      </c>
      <c r="O50" s="16">
        <v>88</v>
      </c>
      <c r="P50" s="16">
        <v>138</v>
      </c>
      <c r="Q50" s="18">
        <f t="shared" si="4"/>
        <v>6.7278287461773695E-2</v>
      </c>
      <c r="R50" s="18">
        <f t="shared" si="4"/>
        <v>0.10550458715596331</v>
      </c>
      <c r="S50" s="18">
        <f t="shared" si="2"/>
        <v>0.827217125382263</v>
      </c>
    </row>
    <row r="51" spans="1:19" ht="12.75" x14ac:dyDescent="0.2">
      <c r="A51" s="14" t="s">
        <v>64</v>
      </c>
      <c r="B51" s="14" t="s">
        <v>65</v>
      </c>
      <c r="C51" s="14" t="s">
        <v>22</v>
      </c>
      <c r="D51" s="15">
        <v>8</v>
      </c>
      <c r="E51" s="15">
        <v>41</v>
      </c>
      <c r="F51" s="14" t="s">
        <v>22</v>
      </c>
      <c r="G51" s="15">
        <v>33</v>
      </c>
      <c r="H51" s="15">
        <v>10</v>
      </c>
      <c r="I51" s="14" t="s">
        <v>22</v>
      </c>
      <c r="J51" s="15">
        <v>19</v>
      </c>
      <c r="K51" s="15">
        <v>4</v>
      </c>
      <c r="L51" s="16">
        <v>37212</v>
      </c>
      <c r="M51" s="16">
        <v>16586</v>
      </c>
      <c r="N51" s="17">
        <f t="shared" si="0"/>
        <v>0.445716435558422</v>
      </c>
      <c r="O51" s="16">
        <v>2395</v>
      </c>
      <c r="P51" s="16">
        <v>1825</v>
      </c>
      <c r="Q51" s="18">
        <f t="shared" si="4"/>
        <v>0.14439889063065237</v>
      </c>
      <c r="R51" s="18">
        <f t="shared" si="4"/>
        <v>0.11003255757868081</v>
      </c>
      <c r="S51" s="18">
        <f t="shared" si="2"/>
        <v>0.74556855179066683</v>
      </c>
    </row>
    <row r="52" spans="1:19" ht="12.75" x14ac:dyDescent="0.2">
      <c r="A52" s="14" t="s">
        <v>82</v>
      </c>
      <c r="B52" s="14" t="s">
        <v>83</v>
      </c>
      <c r="C52" s="14" t="s">
        <v>22</v>
      </c>
      <c r="D52" s="15">
        <v>5</v>
      </c>
      <c r="E52" s="15">
        <v>41</v>
      </c>
      <c r="F52" s="14" t="s">
        <v>22</v>
      </c>
      <c r="G52" s="15">
        <v>1</v>
      </c>
      <c r="H52" s="15">
        <v>2</v>
      </c>
      <c r="I52" s="14" t="s">
        <v>22</v>
      </c>
      <c r="J52" s="15">
        <v>6</v>
      </c>
      <c r="K52" s="15">
        <v>1</v>
      </c>
      <c r="L52" s="16">
        <v>28197</v>
      </c>
      <c r="M52" s="16">
        <v>4001</v>
      </c>
      <c r="N52" s="17">
        <f t="shared" si="0"/>
        <v>0.14189452778664396</v>
      </c>
      <c r="O52" s="16">
        <v>0</v>
      </c>
      <c r="P52" s="16">
        <v>442</v>
      </c>
      <c r="Q52" s="18">
        <f t="shared" si="4"/>
        <v>0</v>
      </c>
      <c r="R52" s="18">
        <f t="shared" si="4"/>
        <v>0.11047238190452387</v>
      </c>
      <c r="S52" s="18">
        <f t="shared" si="2"/>
        <v>0.88952761809547609</v>
      </c>
    </row>
    <row r="53" spans="1:19" ht="12.75" x14ac:dyDescent="0.2">
      <c r="A53" s="14" t="s">
        <v>89</v>
      </c>
      <c r="B53" s="14" t="s">
        <v>49</v>
      </c>
      <c r="C53" s="14" t="s">
        <v>22</v>
      </c>
      <c r="D53" s="15">
        <v>3</v>
      </c>
      <c r="E53" s="15">
        <v>27</v>
      </c>
      <c r="F53" s="14" t="s">
        <v>22</v>
      </c>
      <c r="G53" s="15">
        <v>14</v>
      </c>
      <c r="H53" s="15">
        <v>10</v>
      </c>
      <c r="I53" s="14" t="s">
        <v>22</v>
      </c>
      <c r="J53" s="15">
        <v>9</v>
      </c>
      <c r="K53" s="15">
        <v>2</v>
      </c>
      <c r="L53" s="16">
        <v>30420</v>
      </c>
      <c r="M53" s="16">
        <v>6943</v>
      </c>
      <c r="N53" s="17">
        <f t="shared" si="0"/>
        <v>0.22823800131492439</v>
      </c>
      <c r="O53" s="16">
        <v>335</v>
      </c>
      <c r="P53" s="16">
        <v>911</v>
      </c>
      <c r="Q53" s="18">
        <f t="shared" si="4"/>
        <v>4.8250036007489561E-2</v>
      </c>
      <c r="R53" s="18">
        <f t="shared" si="4"/>
        <v>0.13121129194872533</v>
      </c>
      <c r="S53" s="18">
        <f t="shared" si="2"/>
        <v>0.82053867204378506</v>
      </c>
    </row>
    <row r="54" spans="1:19" ht="12.75" x14ac:dyDescent="0.2">
      <c r="A54" s="14" t="s">
        <v>98</v>
      </c>
      <c r="B54" s="14" t="s">
        <v>25</v>
      </c>
      <c r="C54" s="14" t="s">
        <v>22</v>
      </c>
      <c r="D54" s="15">
        <v>3</v>
      </c>
      <c r="E54" s="15">
        <v>23</v>
      </c>
      <c r="F54" s="14" t="s">
        <v>22</v>
      </c>
      <c r="G54" s="15">
        <v>12</v>
      </c>
      <c r="H54" s="15">
        <v>1</v>
      </c>
      <c r="I54" s="14" t="s">
        <v>22</v>
      </c>
      <c r="J54" s="15">
        <v>13</v>
      </c>
      <c r="K54" s="15">
        <v>1</v>
      </c>
      <c r="L54" s="16">
        <v>13363</v>
      </c>
      <c r="M54" s="16">
        <v>3451</v>
      </c>
      <c r="N54" s="17">
        <f t="shared" si="0"/>
        <v>0.25825039287585122</v>
      </c>
      <c r="O54" s="16">
        <v>45</v>
      </c>
      <c r="P54" s="16">
        <v>510</v>
      </c>
      <c r="Q54" s="18">
        <f t="shared" si="4"/>
        <v>1.3039698638075921E-2</v>
      </c>
      <c r="R54" s="18">
        <f t="shared" si="4"/>
        <v>0.14778325123152711</v>
      </c>
      <c r="S54" s="18">
        <f t="shared" si="2"/>
        <v>0.8391770501303969</v>
      </c>
    </row>
    <row r="55" spans="1:19" ht="12.75" x14ac:dyDescent="0.2">
      <c r="A55" s="14" t="s">
        <v>94</v>
      </c>
      <c r="B55" s="14" t="s">
        <v>95</v>
      </c>
      <c r="C55" s="14" t="s">
        <v>22</v>
      </c>
      <c r="D55" s="15">
        <v>3</v>
      </c>
      <c r="E55" s="15">
        <v>29</v>
      </c>
      <c r="F55" s="14" t="s">
        <v>22</v>
      </c>
      <c r="G55" s="15">
        <v>11</v>
      </c>
      <c r="H55" s="15">
        <v>10</v>
      </c>
      <c r="I55" s="14" t="s">
        <v>22</v>
      </c>
      <c r="J55" s="15">
        <v>9</v>
      </c>
      <c r="K55" s="15">
        <v>10</v>
      </c>
      <c r="L55" s="16">
        <v>23216</v>
      </c>
      <c r="M55" s="16">
        <v>7632</v>
      </c>
      <c r="N55" s="17">
        <f t="shared" si="0"/>
        <v>0.32873880082701584</v>
      </c>
      <c r="O55" s="16">
        <v>198</v>
      </c>
      <c r="P55" s="16">
        <v>1142</v>
      </c>
      <c r="Q55" s="18">
        <f t="shared" si="4"/>
        <v>2.5943396226415096E-2</v>
      </c>
      <c r="R55" s="18">
        <f t="shared" si="4"/>
        <v>0.14963312368972748</v>
      </c>
      <c r="S55" s="18">
        <f t="shared" si="2"/>
        <v>0.82442348008385746</v>
      </c>
    </row>
    <row r="56" spans="1:19" ht="12.75" x14ac:dyDescent="0.2">
      <c r="A56" s="14" t="s">
        <v>50</v>
      </c>
      <c r="B56" s="14" t="s">
        <v>51</v>
      </c>
      <c r="C56" s="14" t="s">
        <v>22</v>
      </c>
      <c r="D56" s="15">
        <v>3</v>
      </c>
      <c r="E56" s="15">
        <v>31</v>
      </c>
      <c r="F56" s="14" t="s">
        <v>22</v>
      </c>
      <c r="G56" s="15">
        <v>26</v>
      </c>
      <c r="H56" s="15">
        <v>6</v>
      </c>
      <c r="I56" s="14" t="s">
        <v>22</v>
      </c>
      <c r="J56" s="15">
        <v>25</v>
      </c>
      <c r="K56" s="15">
        <v>2</v>
      </c>
      <c r="L56" s="16">
        <v>22847</v>
      </c>
      <c r="M56" s="16">
        <v>6330</v>
      </c>
      <c r="N56" s="17">
        <f t="shared" si="0"/>
        <v>0.27706044557272291</v>
      </c>
      <c r="O56" s="16">
        <v>139</v>
      </c>
      <c r="P56" s="16">
        <v>1157</v>
      </c>
      <c r="Q56" s="18">
        <f t="shared" si="4"/>
        <v>2.1958925750394945E-2</v>
      </c>
      <c r="R56" s="18">
        <f t="shared" si="4"/>
        <v>0.18278041074249604</v>
      </c>
      <c r="S56" s="18">
        <f t="shared" si="2"/>
        <v>0.795260663507109</v>
      </c>
    </row>
    <row r="57" spans="1:19" ht="12.75" x14ac:dyDescent="0.2">
      <c r="A57" s="14" t="s">
        <v>80</v>
      </c>
      <c r="B57" s="14" t="s">
        <v>21</v>
      </c>
      <c r="C57" s="14" t="s">
        <v>22</v>
      </c>
      <c r="D57" s="15">
        <v>2</v>
      </c>
      <c r="E57" s="15">
        <v>23</v>
      </c>
      <c r="F57" s="14" t="s">
        <v>22</v>
      </c>
      <c r="G57" s="15">
        <v>33</v>
      </c>
      <c r="H57" s="15">
        <v>4</v>
      </c>
      <c r="I57" s="14" t="s">
        <v>22</v>
      </c>
      <c r="J57" s="15">
        <v>12</v>
      </c>
      <c r="K57" s="15">
        <v>3</v>
      </c>
      <c r="L57" s="16">
        <v>15285</v>
      </c>
      <c r="M57" s="16">
        <v>3385</v>
      </c>
      <c r="N57" s="17">
        <f t="shared" si="0"/>
        <v>0.22145894667975138</v>
      </c>
      <c r="O57" s="16">
        <v>451</v>
      </c>
      <c r="P57" s="16">
        <v>626</v>
      </c>
      <c r="Q57" s="18">
        <f t="shared" si="4"/>
        <v>0.13323485967503693</v>
      </c>
      <c r="R57" s="18">
        <f t="shared" si="4"/>
        <v>0.18493353028064993</v>
      </c>
      <c r="S57" s="18">
        <f t="shared" si="2"/>
        <v>0.68183161004431314</v>
      </c>
    </row>
    <row r="58" spans="1:19" ht="12.75" x14ac:dyDescent="0.2">
      <c r="A58" s="14" t="s">
        <v>88</v>
      </c>
      <c r="B58" s="14" t="s">
        <v>53</v>
      </c>
      <c r="C58" s="14" t="s">
        <v>22</v>
      </c>
      <c r="D58" s="15">
        <v>2</v>
      </c>
      <c r="E58" s="15">
        <v>29</v>
      </c>
      <c r="F58" s="14" t="s">
        <v>22</v>
      </c>
      <c r="G58" s="15">
        <v>11</v>
      </c>
      <c r="H58" s="15">
        <v>3</v>
      </c>
      <c r="I58" s="14" t="s">
        <v>22</v>
      </c>
      <c r="J58" s="15">
        <v>11</v>
      </c>
      <c r="K58" s="15">
        <v>3</v>
      </c>
      <c r="L58" s="16">
        <v>50105</v>
      </c>
      <c r="M58" s="16">
        <v>9523</v>
      </c>
      <c r="N58" s="17">
        <f t="shared" si="0"/>
        <v>0.19006087216844628</v>
      </c>
      <c r="O58" s="16">
        <v>0</v>
      </c>
      <c r="P58" s="16">
        <v>1912</v>
      </c>
      <c r="Q58" s="18">
        <f t="shared" si="4"/>
        <v>0</v>
      </c>
      <c r="R58" s="18">
        <f t="shared" si="4"/>
        <v>0.20077706605061429</v>
      </c>
      <c r="S58" s="18">
        <f t="shared" si="2"/>
        <v>0.79922293394938571</v>
      </c>
    </row>
    <row r="59" spans="1:19" ht="12.75" x14ac:dyDescent="0.2">
      <c r="A59" s="14" t="s">
        <v>99</v>
      </c>
      <c r="B59" s="14" t="s">
        <v>62</v>
      </c>
      <c r="C59" s="14" t="s">
        <v>22</v>
      </c>
      <c r="D59" s="15">
        <v>1</v>
      </c>
      <c r="E59" s="15">
        <v>13</v>
      </c>
      <c r="F59" s="14" t="s">
        <v>22</v>
      </c>
      <c r="G59" s="15">
        <v>13</v>
      </c>
      <c r="H59" s="15">
        <v>2</v>
      </c>
      <c r="I59" s="14" t="s">
        <v>22</v>
      </c>
      <c r="J59" s="15">
        <v>10</v>
      </c>
      <c r="K59" s="15">
        <v>1</v>
      </c>
      <c r="L59" s="16">
        <v>13832</v>
      </c>
      <c r="M59" s="16">
        <v>2390</v>
      </c>
      <c r="N59" s="17">
        <f t="shared" si="0"/>
        <v>0.17278773857721227</v>
      </c>
      <c r="O59" s="16">
        <v>101</v>
      </c>
      <c r="P59" s="16">
        <v>488</v>
      </c>
      <c r="Q59" s="18">
        <f t="shared" si="4"/>
        <v>4.225941422594142E-2</v>
      </c>
      <c r="R59" s="18">
        <f t="shared" si="4"/>
        <v>0.20418410041841004</v>
      </c>
      <c r="S59" s="18">
        <f t="shared" si="2"/>
        <v>0.75355648535564856</v>
      </c>
    </row>
    <row r="60" spans="1:19" ht="12.75" x14ac:dyDescent="0.2">
      <c r="A60" s="14" t="s">
        <v>69</v>
      </c>
      <c r="B60" s="14" t="s">
        <v>70</v>
      </c>
      <c r="C60" s="14" t="s">
        <v>22</v>
      </c>
      <c r="D60" s="15">
        <v>4</v>
      </c>
      <c r="E60" s="15">
        <v>30</v>
      </c>
      <c r="F60" s="14" t="s">
        <v>22</v>
      </c>
      <c r="G60" s="15">
        <v>21</v>
      </c>
      <c r="H60" s="15">
        <v>6</v>
      </c>
      <c r="I60" s="14" t="s">
        <v>22</v>
      </c>
      <c r="J60" s="15">
        <v>12</v>
      </c>
      <c r="K60" s="15">
        <v>3</v>
      </c>
      <c r="L60" s="16">
        <v>15397</v>
      </c>
      <c r="M60" s="16">
        <v>2809</v>
      </c>
      <c r="N60" s="17">
        <f t="shared" si="0"/>
        <v>0.18243813729947392</v>
      </c>
      <c r="O60" s="16">
        <v>70</v>
      </c>
      <c r="P60" s="16">
        <v>583</v>
      </c>
      <c r="Q60" s="18">
        <f t="shared" si="4"/>
        <v>2.491990032039872E-2</v>
      </c>
      <c r="R60" s="18">
        <f t="shared" si="4"/>
        <v>0.20754716981132076</v>
      </c>
      <c r="S60" s="18">
        <f t="shared" si="2"/>
        <v>0.76753292986828048</v>
      </c>
    </row>
    <row r="61" spans="1:19" ht="12.75" x14ac:dyDescent="0.2">
      <c r="A61" s="14" t="s">
        <v>52</v>
      </c>
      <c r="B61" s="14" t="s">
        <v>53</v>
      </c>
      <c r="C61" s="14" t="s">
        <v>22</v>
      </c>
      <c r="D61" s="15">
        <v>5</v>
      </c>
      <c r="E61" s="15">
        <v>32</v>
      </c>
      <c r="F61" s="14" t="s">
        <v>22</v>
      </c>
      <c r="G61" s="15">
        <v>20</v>
      </c>
      <c r="H61" s="15">
        <v>2</v>
      </c>
      <c r="I61" s="14" t="s">
        <v>22</v>
      </c>
      <c r="J61" s="15">
        <v>12</v>
      </c>
      <c r="K61" s="15">
        <v>2</v>
      </c>
      <c r="L61" s="16">
        <v>43774</v>
      </c>
      <c r="M61" s="16">
        <v>8006</v>
      </c>
      <c r="N61" s="17">
        <f t="shared" si="0"/>
        <v>0.18289395531594096</v>
      </c>
      <c r="O61" s="16">
        <v>138</v>
      </c>
      <c r="P61" s="16">
        <v>1690</v>
      </c>
      <c r="Q61" s="18">
        <f t="shared" si="4"/>
        <v>1.7237072195853111E-2</v>
      </c>
      <c r="R61" s="18">
        <f t="shared" si="4"/>
        <v>0.21109168123907068</v>
      </c>
      <c r="S61" s="18">
        <f t="shared" si="2"/>
        <v>0.77167124656507613</v>
      </c>
    </row>
    <row r="62" spans="1:19" ht="12.75" x14ac:dyDescent="0.2">
      <c r="A62" s="14" t="s">
        <v>106</v>
      </c>
      <c r="B62" s="14" t="s">
        <v>62</v>
      </c>
      <c r="C62" s="14" t="s">
        <v>22</v>
      </c>
      <c r="D62" s="15">
        <v>2</v>
      </c>
      <c r="E62" s="15">
        <v>10</v>
      </c>
      <c r="F62" s="14" t="s">
        <v>22</v>
      </c>
      <c r="G62" s="15">
        <v>28</v>
      </c>
      <c r="H62" s="15">
        <v>4</v>
      </c>
      <c r="I62" s="14" t="s">
        <v>22</v>
      </c>
      <c r="J62" s="15">
        <v>11</v>
      </c>
      <c r="K62" s="15">
        <v>4</v>
      </c>
      <c r="L62" s="16">
        <v>7773</v>
      </c>
      <c r="M62" s="16">
        <v>1692</v>
      </c>
      <c r="N62" s="17">
        <f t="shared" si="0"/>
        <v>0.21767657275183327</v>
      </c>
      <c r="O62" s="16">
        <v>220</v>
      </c>
      <c r="P62" s="16">
        <v>360</v>
      </c>
      <c r="Q62" s="18">
        <f t="shared" si="4"/>
        <v>0.13002364066193853</v>
      </c>
      <c r="R62" s="18">
        <f t="shared" si="4"/>
        <v>0.21276595744680851</v>
      </c>
      <c r="S62" s="18">
        <f t="shared" si="2"/>
        <v>0.65721040189125302</v>
      </c>
    </row>
    <row r="63" spans="1:19" ht="12.75" x14ac:dyDescent="0.2">
      <c r="A63" s="14" t="s">
        <v>97</v>
      </c>
      <c r="B63" s="14" t="s">
        <v>55</v>
      </c>
      <c r="C63" s="14" t="s">
        <v>22</v>
      </c>
      <c r="D63" s="15">
        <v>2</v>
      </c>
      <c r="E63" s="15">
        <v>23</v>
      </c>
      <c r="F63" s="14" t="s">
        <v>22</v>
      </c>
      <c r="G63" s="15">
        <v>23</v>
      </c>
      <c r="H63" s="15">
        <v>6</v>
      </c>
      <c r="I63" s="14" t="s">
        <v>22</v>
      </c>
      <c r="J63" s="15">
        <v>16</v>
      </c>
      <c r="K63" s="15">
        <v>4</v>
      </c>
      <c r="L63" s="16">
        <v>26458</v>
      </c>
      <c r="M63" s="16">
        <v>3070</v>
      </c>
      <c r="N63" s="17">
        <f t="shared" si="0"/>
        <v>0.11603295789553254</v>
      </c>
      <c r="O63" s="16">
        <v>110</v>
      </c>
      <c r="P63" s="16">
        <v>729</v>
      </c>
      <c r="Q63" s="18">
        <f t="shared" si="4"/>
        <v>3.5830618892508145E-2</v>
      </c>
      <c r="R63" s="18">
        <f t="shared" si="4"/>
        <v>0.23745928338762215</v>
      </c>
      <c r="S63" s="18">
        <f t="shared" si="2"/>
        <v>0.72671009771986972</v>
      </c>
    </row>
    <row r="64" spans="1:19" ht="12.75" x14ac:dyDescent="0.2">
      <c r="A64" s="14" t="s">
        <v>100</v>
      </c>
      <c r="B64" s="14" t="s">
        <v>21</v>
      </c>
      <c r="C64" s="14" t="s">
        <v>22</v>
      </c>
      <c r="D64" s="15">
        <v>2</v>
      </c>
      <c r="E64" s="15">
        <v>25</v>
      </c>
      <c r="F64" s="14" t="s">
        <v>22</v>
      </c>
      <c r="G64" s="15">
        <v>42</v>
      </c>
      <c r="H64" s="15">
        <v>12</v>
      </c>
      <c r="I64" s="14" t="s">
        <v>22</v>
      </c>
      <c r="J64" s="15">
        <v>24</v>
      </c>
      <c r="K64" s="15">
        <v>6</v>
      </c>
      <c r="L64" s="16">
        <v>18517</v>
      </c>
      <c r="M64" s="16">
        <v>4127</v>
      </c>
      <c r="N64" s="17">
        <f t="shared" si="0"/>
        <v>0.22287627585462008</v>
      </c>
      <c r="O64" s="16">
        <v>558</v>
      </c>
      <c r="P64" s="16">
        <v>1003</v>
      </c>
      <c r="Q64" s="18">
        <f t="shared" si="4"/>
        <v>0.13520717228010662</v>
      </c>
      <c r="R64" s="18">
        <f t="shared" si="4"/>
        <v>0.24303368063968986</v>
      </c>
      <c r="S64" s="18">
        <f t="shared" si="2"/>
        <v>0.62175914708020352</v>
      </c>
    </row>
    <row r="65" spans="1:19" ht="12.75" x14ac:dyDescent="0.2">
      <c r="A65" s="14" t="s">
        <v>74</v>
      </c>
      <c r="B65" s="14" t="s">
        <v>62</v>
      </c>
      <c r="C65" s="14" t="s">
        <v>22</v>
      </c>
      <c r="D65" s="15">
        <v>2</v>
      </c>
      <c r="E65" s="15">
        <v>13</v>
      </c>
      <c r="F65" s="14" t="s">
        <v>22</v>
      </c>
      <c r="G65" s="15">
        <v>28</v>
      </c>
      <c r="H65" s="15">
        <v>3</v>
      </c>
      <c r="I65" s="14" t="s">
        <v>22</v>
      </c>
      <c r="J65" s="15">
        <v>14</v>
      </c>
      <c r="K65" s="15">
        <v>1</v>
      </c>
      <c r="L65" s="16">
        <v>11982</v>
      </c>
      <c r="M65" s="16">
        <v>2201</v>
      </c>
      <c r="N65" s="17">
        <f t="shared" si="0"/>
        <v>0.18369220497412786</v>
      </c>
      <c r="O65" s="16">
        <v>86</v>
      </c>
      <c r="P65" s="16">
        <v>587</v>
      </c>
      <c r="Q65" s="18">
        <f t="shared" si="4"/>
        <v>3.9073148568832351E-2</v>
      </c>
      <c r="R65" s="18">
        <f t="shared" si="4"/>
        <v>0.26669695592912313</v>
      </c>
      <c r="S65" s="18">
        <f t="shared" si="2"/>
        <v>0.6942298955020445</v>
      </c>
    </row>
    <row r="66" spans="1:19" ht="12.75" x14ac:dyDescent="0.2">
      <c r="A66" s="14" t="s">
        <v>61</v>
      </c>
      <c r="B66" s="14" t="s">
        <v>62</v>
      </c>
      <c r="C66" s="14" t="s">
        <v>22</v>
      </c>
      <c r="D66" s="15">
        <v>1</v>
      </c>
      <c r="E66" s="15">
        <v>20</v>
      </c>
      <c r="F66" s="14" t="s">
        <v>22</v>
      </c>
      <c r="G66" s="15">
        <v>30</v>
      </c>
      <c r="H66" s="15">
        <v>6</v>
      </c>
      <c r="I66" s="14" t="s">
        <v>22</v>
      </c>
      <c r="J66" s="15">
        <v>20</v>
      </c>
      <c r="K66" s="15">
        <v>6</v>
      </c>
      <c r="L66" s="16">
        <v>19145</v>
      </c>
      <c r="M66" s="16">
        <v>2724</v>
      </c>
      <c r="N66" s="17">
        <f t="shared" si="0"/>
        <v>0.14228258030817445</v>
      </c>
      <c r="O66" s="16">
        <v>128</v>
      </c>
      <c r="P66" s="16">
        <v>731</v>
      </c>
      <c r="Q66" s="18">
        <f t="shared" si="4"/>
        <v>4.6989720998531569E-2</v>
      </c>
      <c r="R66" s="18">
        <f t="shared" si="4"/>
        <v>0.26835535976505137</v>
      </c>
      <c r="S66" s="18">
        <f t="shared" si="2"/>
        <v>0.68465491923641708</v>
      </c>
    </row>
    <row r="67" spans="1:19" ht="12.75" x14ac:dyDescent="0.2">
      <c r="A67" s="14" t="s">
        <v>122</v>
      </c>
      <c r="B67" s="14" t="s">
        <v>53</v>
      </c>
      <c r="C67" s="14" t="s">
        <v>22</v>
      </c>
      <c r="D67" s="15">
        <v>1</v>
      </c>
      <c r="E67" s="15">
        <v>13</v>
      </c>
      <c r="F67" s="14" t="s">
        <v>22</v>
      </c>
      <c r="G67" s="15">
        <v>23</v>
      </c>
      <c r="H67" s="15">
        <v>4</v>
      </c>
      <c r="I67" s="14" t="s">
        <v>22</v>
      </c>
      <c r="J67" s="15">
        <v>8</v>
      </c>
      <c r="K67" s="15">
        <v>4</v>
      </c>
      <c r="L67" s="16">
        <v>12554</v>
      </c>
      <c r="M67" s="16">
        <v>5288</v>
      </c>
      <c r="N67" s="17">
        <f t="shared" ref="N67:N71" si="5">M67/L67</f>
        <v>0.42122032818225269</v>
      </c>
      <c r="O67" s="16">
        <v>1557</v>
      </c>
      <c r="P67" s="16">
        <v>1481</v>
      </c>
      <c r="Q67" s="18">
        <f t="shared" si="4"/>
        <v>0.29444024205748864</v>
      </c>
      <c r="R67" s="18">
        <f t="shared" si="4"/>
        <v>0.28006807866868383</v>
      </c>
      <c r="S67" s="18">
        <f t="shared" ref="S67:S71" si="6">1-Q67-R67</f>
        <v>0.42549167927382753</v>
      </c>
    </row>
    <row r="68" spans="1:19" ht="12.75" x14ac:dyDescent="0.2">
      <c r="A68" s="14" t="s">
        <v>90</v>
      </c>
      <c r="B68" s="14" t="s">
        <v>34</v>
      </c>
      <c r="C68" s="14" t="s">
        <v>22</v>
      </c>
      <c r="D68" s="15">
        <v>2</v>
      </c>
      <c r="E68" s="15">
        <v>11</v>
      </c>
      <c r="F68" s="14" t="s">
        <v>22</v>
      </c>
      <c r="G68" s="15">
        <v>17</v>
      </c>
      <c r="H68" s="15">
        <v>6</v>
      </c>
      <c r="I68" s="14" t="s">
        <v>22</v>
      </c>
      <c r="J68" s="15">
        <v>14</v>
      </c>
      <c r="K68" s="15">
        <v>6</v>
      </c>
      <c r="L68" s="16">
        <v>14173</v>
      </c>
      <c r="M68" s="16">
        <v>5494</v>
      </c>
      <c r="N68" s="17">
        <f t="shared" si="5"/>
        <v>0.38763846750864317</v>
      </c>
      <c r="O68" s="16">
        <v>72</v>
      </c>
      <c r="P68" s="16">
        <v>1591</v>
      </c>
      <c r="Q68" s="18">
        <f t="shared" si="4"/>
        <v>1.3105205678922462E-2</v>
      </c>
      <c r="R68" s="18">
        <f t="shared" si="4"/>
        <v>0.28958864215507829</v>
      </c>
      <c r="S68" s="18">
        <f t="shared" si="6"/>
        <v>0.69730615216599923</v>
      </c>
    </row>
    <row r="69" spans="1:19" ht="12.75" x14ac:dyDescent="0.2">
      <c r="A69" s="14" t="s">
        <v>102</v>
      </c>
      <c r="B69" s="14" t="s">
        <v>62</v>
      </c>
      <c r="C69" s="14" t="s">
        <v>22</v>
      </c>
      <c r="D69" s="15">
        <v>2</v>
      </c>
      <c r="E69" s="15">
        <v>11</v>
      </c>
      <c r="F69" s="14" t="s">
        <v>22</v>
      </c>
      <c r="G69" s="15">
        <v>8</v>
      </c>
      <c r="H69" s="15">
        <v>1</v>
      </c>
      <c r="I69" s="14" t="s">
        <v>22</v>
      </c>
      <c r="J69" s="15">
        <v>7</v>
      </c>
      <c r="K69" s="15">
        <v>1</v>
      </c>
      <c r="L69" s="16">
        <v>6144</v>
      </c>
      <c r="M69" s="16">
        <v>1656</v>
      </c>
      <c r="N69" s="17">
        <f t="shared" si="5"/>
        <v>0.26953125</v>
      </c>
      <c r="O69" s="16">
        <v>17</v>
      </c>
      <c r="P69" s="16">
        <v>487</v>
      </c>
      <c r="Q69" s="18">
        <f t="shared" si="4"/>
        <v>1.0265700483091788E-2</v>
      </c>
      <c r="R69" s="18">
        <f t="shared" si="4"/>
        <v>0.29408212560386471</v>
      </c>
      <c r="S69" s="18">
        <f t="shared" si="6"/>
        <v>0.69565217391304346</v>
      </c>
    </row>
    <row r="70" spans="1:19" ht="12.75" x14ac:dyDescent="0.2">
      <c r="A70" s="14" t="s">
        <v>48</v>
      </c>
      <c r="B70" s="14" t="s">
        <v>49</v>
      </c>
      <c r="C70" s="14" t="s">
        <v>22</v>
      </c>
      <c r="D70" s="15">
        <v>3</v>
      </c>
      <c r="E70" s="15">
        <v>8</v>
      </c>
      <c r="F70" s="14" t="s">
        <v>22</v>
      </c>
      <c r="G70" s="15">
        <v>7</v>
      </c>
      <c r="H70" s="15">
        <v>4</v>
      </c>
      <c r="I70" s="14" t="s">
        <v>22</v>
      </c>
      <c r="J70" s="15">
        <v>8</v>
      </c>
      <c r="K70" s="15">
        <v>4</v>
      </c>
      <c r="L70" s="16">
        <v>12942</v>
      </c>
      <c r="M70" s="16">
        <v>2537</v>
      </c>
      <c r="N70" s="17">
        <f t="shared" si="5"/>
        <v>0.19602843455416474</v>
      </c>
      <c r="O70" s="16">
        <v>0</v>
      </c>
      <c r="P70" s="16">
        <v>1359</v>
      </c>
      <c r="Q70" s="18">
        <f t="shared" si="4"/>
        <v>0</v>
      </c>
      <c r="R70" s="18">
        <f t="shared" si="4"/>
        <v>0.53567205360662196</v>
      </c>
      <c r="S70" s="18">
        <f t="shared" si="6"/>
        <v>0.46432794639337804</v>
      </c>
    </row>
    <row r="71" spans="1:19" ht="12.75" x14ac:dyDescent="0.2">
      <c r="A71" s="14" t="s">
        <v>123</v>
      </c>
      <c r="B71" s="14" t="s">
        <v>34</v>
      </c>
      <c r="C71" s="14" t="s">
        <v>22</v>
      </c>
      <c r="D71" s="15">
        <v>4</v>
      </c>
      <c r="E71" s="15">
        <v>10</v>
      </c>
      <c r="F71" s="14" t="s">
        <v>22</v>
      </c>
      <c r="G71" s="15">
        <v>16</v>
      </c>
      <c r="H71" s="15">
        <v>5</v>
      </c>
      <c r="I71" s="14" t="s">
        <v>22</v>
      </c>
      <c r="J71" s="15">
        <v>15</v>
      </c>
      <c r="K71" s="15">
        <v>4</v>
      </c>
      <c r="L71" s="16">
        <v>2128</v>
      </c>
      <c r="M71" s="16">
        <v>1237</v>
      </c>
      <c r="N71" s="17">
        <f t="shared" si="5"/>
        <v>0.58129699248120303</v>
      </c>
      <c r="O71" s="16">
        <v>107</v>
      </c>
      <c r="P71" s="16">
        <v>1018</v>
      </c>
      <c r="Q71" s="18">
        <f t="shared" si="4"/>
        <v>8.6499595796281331E-2</v>
      </c>
      <c r="R71" s="18">
        <f t="shared" si="4"/>
        <v>0.82295877122069527</v>
      </c>
      <c r="S71" s="18">
        <f t="shared" si="6"/>
        <v>9.0541632983023423E-2</v>
      </c>
    </row>
  </sheetData>
  <mergeCells count="5">
    <mergeCell ref="A1:B1"/>
    <mergeCell ref="C1:E1"/>
    <mergeCell ref="F1:H1"/>
    <mergeCell ref="I1:K1"/>
    <mergeCell ref="L1:S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Resumo_Geral</vt:lpstr>
      <vt:lpstr>Planilha1</vt:lpstr>
      <vt:lpstr>Planilha3</vt:lpstr>
      <vt:lpstr>Planilha4</vt:lpstr>
      <vt:lpstr>Planilha5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Ocimar Luis Zolin</cp:lastModifiedBy>
  <cp:revision>4</cp:revision>
  <dcterms:created xsi:type="dcterms:W3CDTF">2026-06-23T14:33:17Z</dcterms:created>
  <dcterms:modified xsi:type="dcterms:W3CDTF">2026-07-27T16:30:31Z</dcterms:modified>
  <dc:language>pt-BR</dc:language>
</cp:coreProperties>
</file>