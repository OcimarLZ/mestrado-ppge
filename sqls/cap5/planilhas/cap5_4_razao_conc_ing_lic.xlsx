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planilhas\"/>
    </mc:Choice>
  </mc:AlternateContent>
  <xr:revisionPtr revIDLastSave="0" documentId="13_ncr:1_{9739141A-7851-463B-AA76-C41786425A40}" xr6:coauthVersionLast="47" xr6:coauthVersionMax="47" xr10:uidLastSave="{00000000-0000-0000-0000-000000000000}"/>
  <bookViews>
    <workbookView xWindow="-28920" yWindow="-285" windowWidth="29040" windowHeight="15720" tabRatio="500" activeTab="1" xr2:uid="{00000000-000D-0000-FFFF-FFFF00000000}"/>
  </bookViews>
  <sheets>
    <sheet name="Razão Conc_Ingr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/>
  <c r="E24" i="1"/>
  <c r="E23" i="1"/>
  <c r="E19" i="1"/>
  <c r="E18" i="1"/>
  <c r="E17" i="1"/>
  <c r="E16" i="1"/>
  <c r="E15" i="1"/>
  <c r="E14" i="1"/>
  <c r="E13" i="1"/>
  <c r="E9" i="1"/>
  <c r="E8" i="1"/>
  <c r="E7" i="1"/>
  <c r="E6" i="1"/>
  <c r="E5" i="1"/>
  <c r="E4" i="1"/>
  <c r="E3" i="1"/>
  <c r="K10" i="2"/>
  <c r="H10" i="2"/>
  <c r="E10" i="2"/>
  <c r="K9" i="2"/>
  <c r="H9" i="2"/>
  <c r="E9" i="2"/>
  <c r="K8" i="2"/>
  <c r="H8" i="2"/>
  <c r="E8" i="2"/>
  <c r="K7" i="2"/>
  <c r="H7" i="2"/>
  <c r="E7" i="2"/>
  <c r="K6" i="2"/>
  <c r="H6" i="2"/>
  <c r="E6" i="2"/>
  <c r="K5" i="2"/>
  <c r="H5" i="2"/>
  <c r="E5" i="2"/>
  <c r="K4" i="2"/>
  <c r="H4" i="2"/>
  <c r="E4" i="2"/>
</calcChain>
</file>

<file path=xl/sharedStrings.xml><?xml version="1.0" encoding="utf-8"?>
<sst xmlns="http://schemas.openxmlformats.org/spreadsheetml/2006/main" count="33" uniqueCount="12">
  <si>
    <t>Presencial</t>
  </si>
  <si>
    <t>Ano Conclusão</t>
  </si>
  <si>
    <t>Concluintes</t>
  </si>
  <si>
    <t>Ingressantes</t>
  </si>
  <si>
    <t>Ano Ingressantes</t>
  </si>
  <si>
    <t>Razão (Concluinte / Ingressante)</t>
  </si>
  <si>
    <t>EaD Próprio</t>
  </si>
  <si>
    <t>UAB</t>
  </si>
  <si>
    <t>Linha do Tempo</t>
  </si>
  <si>
    <t>Ingresso</t>
  </si>
  <si>
    <t>Conclusão</t>
  </si>
  <si>
    <t>Tx Concl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</si>
</sst>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DDDD"/>
        <bgColor rgb="FFC2DAF5"/>
      </patternFill>
    </fill>
    <fill>
      <patternFill patternType="solid">
        <fgColor rgb="FFC2DAF5"/>
        <bgColor rgb="FFDDDDDD"/>
      </patternFill>
    </fill>
    <fill>
      <patternFill patternType="solid">
        <fgColor rgb="FFE8F2A1"/>
        <bgColor rgb="FFFFFFCC"/>
      </patternFill>
    </fill>
    <fill>
      <patternFill patternType="solid">
        <fgColor rgb="FFAFD095"/>
        <bgColor rgb="FFC2DA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0" xfId="0" applyFont="1"/>
    <xf numFmtId="0" fontId="1" fillId="2" borderId="1" xfId="0" applyFont="1" applyFill="1" applyBorder="1" applyAlignment="1">
      <alignment horizontal="right"/>
    </xf>
    <xf numFmtId="3" fontId="3" fillId="0" borderId="0" xfId="0" applyNumberFormat="1" applyFont="1"/>
    <xf numFmtId="3" fontId="2" fillId="0" borderId="1" xfId="0" quotePrefix="1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2DA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zoomScaleNormal="100" workbookViewId="0">
      <selection activeCell="C3" sqref="C3"/>
    </sheetView>
  </sheetViews>
  <sheetFormatPr defaultColWidth="11.5703125" defaultRowHeight="12.75" x14ac:dyDescent="0.2"/>
  <cols>
    <col min="1" max="1" width="13.42578125" customWidth="1"/>
    <col min="4" max="4" width="14.42578125" customWidth="1"/>
    <col min="5" max="5" width="26.7109375" customWidth="1"/>
  </cols>
  <sheetData>
    <row r="1" spans="1:5" x14ac:dyDescent="0.2">
      <c r="A1" s="13" t="s">
        <v>0</v>
      </c>
      <c r="B1" s="13"/>
      <c r="C1" s="13"/>
      <c r="D1" s="13"/>
      <c r="E1" s="13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>
        <v>2018</v>
      </c>
      <c r="B3" s="3">
        <v>30743</v>
      </c>
      <c r="C3" s="3">
        <v>226607</v>
      </c>
      <c r="D3" s="2">
        <v>2014</v>
      </c>
      <c r="E3" s="4">
        <f t="shared" ref="E3:E9" si="0">B3/C3</f>
        <v>0.1356665945888697</v>
      </c>
    </row>
    <row r="4" spans="1:5" x14ac:dyDescent="0.2">
      <c r="A4" s="2">
        <v>2019</v>
      </c>
      <c r="B4" s="3">
        <v>30068</v>
      </c>
      <c r="C4" s="3">
        <v>228232</v>
      </c>
      <c r="D4" s="2">
        <v>2015</v>
      </c>
      <c r="E4" s="4">
        <f t="shared" si="0"/>
        <v>0.13174313856076272</v>
      </c>
    </row>
    <row r="5" spans="1:5" x14ac:dyDescent="0.2">
      <c r="A5" s="2">
        <v>2020</v>
      </c>
      <c r="B5" s="3">
        <v>20429</v>
      </c>
      <c r="C5" s="3">
        <v>235003</v>
      </c>
      <c r="D5" s="2">
        <v>2016</v>
      </c>
      <c r="E5" s="4">
        <f t="shared" si="0"/>
        <v>8.6930805138657807E-2</v>
      </c>
    </row>
    <row r="6" spans="1:5" x14ac:dyDescent="0.2">
      <c r="A6" s="2">
        <v>2021</v>
      </c>
      <c r="B6" s="3">
        <v>21806</v>
      </c>
      <c r="C6" s="3">
        <v>234581</v>
      </c>
      <c r="D6" s="2">
        <v>2017</v>
      </c>
      <c r="E6" s="4">
        <f t="shared" si="0"/>
        <v>9.2957230125201962E-2</v>
      </c>
    </row>
    <row r="7" spans="1:5" x14ac:dyDescent="0.2">
      <c r="A7" s="2">
        <v>2022</v>
      </c>
      <c r="B7" s="3">
        <v>25774</v>
      </c>
      <c r="C7" s="3">
        <v>239147</v>
      </c>
      <c r="D7" s="2">
        <v>2018</v>
      </c>
      <c r="E7" s="4">
        <f t="shared" si="0"/>
        <v>0.10777471596967556</v>
      </c>
    </row>
    <row r="8" spans="1:5" x14ac:dyDescent="0.2">
      <c r="A8" s="2">
        <v>2023</v>
      </c>
      <c r="B8" s="3">
        <v>27693</v>
      </c>
      <c r="C8" s="3">
        <v>240310</v>
      </c>
      <c r="D8" s="2">
        <v>2019</v>
      </c>
      <c r="E8" s="4">
        <f t="shared" si="0"/>
        <v>0.11523865007698389</v>
      </c>
    </row>
    <row r="9" spans="1:5" x14ac:dyDescent="0.2">
      <c r="A9" s="2">
        <v>2024</v>
      </c>
      <c r="B9" s="3">
        <v>27506</v>
      </c>
      <c r="C9" s="3">
        <v>215478</v>
      </c>
      <c r="D9" s="2">
        <v>2020</v>
      </c>
      <c r="E9" s="4">
        <f t="shared" si="0"/>
        <v>0.12765108270913969</v>
      </c>
    </row>
    <row r="10" spans="1:5" x14ac:dyDescent="0.2">
      <c r="A10" s="14"/>
      <c r="B10" s="14"/>
      <c r="C10" s="14"/>
      <c r="D10" s="14"/>
      <c r="E10" s="14"/>
    </row>
    <row r="11" spans="1:5" x14ac:dyDescent="0.2">
      <c r="A11" s="13" t="s">
        <v>6</v>
      </c>
      <c r="B11" s="13"/>
      <c r="C11" s="13"/>
      <c r="D11" s="13"/>
      <c r="E11" s="13"/>
    </row>
    <row r="12" spans="1:5" x14ac:dyDescent="0.2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</row>
    <row r="13" spans="1:5" x14ac:dyDescent="0.2">
      <c r="A13" s="2">
        <v>2018</v>
      </c>
      <c r="B13" s="3">
        <v>209</v>
      </c>
      <c r="C13" s="3">
        <v>4333</v>
      </c>
      <c r="D13" s="2">
        <v>2014</v>
      </c>
      <c r="E13" s="4">
        <f t="shared" ref="E13:E19" si="1">B13/C13</f>
        <v>4.823447957535195E-2</v>
      </c>
    </row>
    <row r="14" spans="1:5" x14ac:dyDescent="0.2">
      <c r="A14" s="2">
        <v>2019</v>
      </c>
      <c r="B14" s="3">
        <v>55</v>
      </c>
      <c r="C14" s="3">
        <v>3072</v>
      </c>
      <c r="D14" s="2">
        <v>2015</v>
      </c>
      <c r="E14" s="4">
        <f t="shared" si="1"/>
        <v>1.7903645833333332E-2</v>
      </c>
    </row>
    <row r="15" spans="1:5" x14ac:dyDescent="0.2">
      <c r="A15" s="2">
        <v>2020</v>
      </c>
      <c r="B15" s="3">
        <v>155</v>
      </c>
      <c r="C15" s="3">
        <v>2026</v>
      </c>
      <c r="D15" s="2">
        <v>2016</v>
      </c>
      <c r="E15" s="4">
        <f t="shared" si="1"/>
        <v>7.6505429417571574E-2</v>
      </c>
    </row>
    <row r="16" spans="1:5" x14ac:dyDescent="0.2">
      <c r="A16" s="2">
        <v>2021</v>
      </c>
      <c r="B16" s="3">
        <v>73</v>
      </c>
      <c r="C16" s="3">
        <v>1220</v>
      </c>
      <c r="D16" s="2">
        <v>2017</v>
      </c>
      <c r="E16" s="4">
        <f t="shared" si="1"/>
        <v>5.983606557377049E-2</v>
      </c>
    </row>
    <row r="17" spans="1:5" x14ac:dyDescent="0.2">
      <c r="A17" s="2">
        <v>2022</v>
      </c>
      <c r="B17" s="3">
        <v>21</v>
      </c>
      <c r="C17" s="3">
        <v>935</v>
      </c>
      <c r="D17" s="2">
        <v>2018</v>
      </c>
      <c r="E17" s="4">
        <f t="shared" si="1"/>
        <v>2.2459893048128343E-2</v>
      </c>
    </row>
    <row r="18" spans="1:5" x14ac:dyDescent="0.2">
      <c r="A18" s="2">
        <v>2023</v>
      </c>
      <c r="B18" s="3">
        <v>23</v>
      </c>
      <c r="C18" s="3">
        <v>639</v>
      </c>
      <c r="D18" s="2">
        <v>2019</v>
      </c>
      <c r="E18" s="4">
        <f t="shared" si="1"/>
        <v>3.5993740219092331E-2</v>
      </c>
    </row>
    <row r="19" spans="1:5" x14ac:dyDescent="0.2">
      <c r="A19" s="2">
        <v>2024</v>
      </c>
      <c r="B19" s="3">
        <v>35</v>
      </c>
      <c r="C19" s="3">
        <v>638</v>
      </c>
      <c r="D19" s="2">
        <v>2020</v>
      </c>
      <c r="E19" s="4">
        <f t="shared" si="1"/>
        <v>5.4858934169278999E-2</v>
      </c>
    </row>
    <row r="20" spans="1:5" x14ac:dyDescent="0.2">
      <c r="A20" s="14"/>
      <c r="B20" s="14"/>
      <c r="C20" s="14"/>
      <c r="D20" s="14"/>
      <c r="E20" s="14"/>
    </row>
    <row r="21" spans="1:5" x14ac:dyDescent="0.2">
      <c r="A21" s="13" t="s">
        <v>7</v>
      </c>
      <c r="B21" s="13"/>
      <c r="C21" s="13"/>
      <c r="D21" s="13"/>
      <c r="E21" s="13"/>
    </row>
    <row r="22" spans="1:5" x14ac:dyDescent="0.2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</row>
    <row r="23" spans="1:5" x14ac:dyDescent="0.2">
      <c r="A23" s="2">
        <v>2018</v>
      </c>
      <c r="B23" s="3">
        <v>7441</v>
      </c>
      <c r="C23" s="3">
        <v>60026</v>
      </c>
      <c r="D23" s="2">
        <v>2014</v>
      </c>
      <c r="E23" s="4">
        <f t="shared" ref="E23:E29" si="2">B23/C23</f>
        <v>0.12396294938859827</v>
      </c>
    </row>
    <row r="24" spans="1:5" x14ac:dyDescent="0.2">
      <c r="A24" s="2">
        <v>2019</v>
      </c>
      <c r="B24" s="3">
        <v>2767</v>
      </c>
      <c r="C24" s="3">
        <v>46629</v>
      </c>
      <c r="D24" s="2">
        <v>2015</v>
      </c>
      <c r="E24" s="4">
        <f t="shared" si="2"/>
        <v>5.9340753608269535E-2</v>
      </c>
    </row>
    <row r="25" spans="1:5" x14ac:dyDescent="0.2">
      <c r="A25" s="2">
        <v>2020</v>
      </c>
      <c r="B25" s="3">
        <v>5535</v>
      </c>
      <c r="C25" s="3">
        <v>40841</v>
      </c>
      <c r="D25" s="2">
        <v>2016</v>
      </c>
      <c r="E25" s="4">
        <f t="shared" si="2"/>
        <v>0.13552557479003943</v>
      </c>
    </row>
    <row r="26" spans="1:5" x14ac:dyDescent="0.2">
      <c r="A26" s="2">
        <v>2021</v>
      </c>
      <c r="B26" s="3">
        <v>7192</v>
      </c>
      <c r="C26" s="3">
        <v>59366</v>
      </c>
      <c r="D26" s="2">
        <v>2017</v>
      </c>
      <c r="E26" s="4">
        <f t="shared" si="2"/>
        <v>0.12114678435468113</v>
      </c>
    </row>
    <row r="27" spans="1:5" x14ac:dyDescent="0.2">
      <c r="A27" s="2">
        <v>2022</v>
      </c>
      <c r="B27" s="3">
        <v>3824</v>
      </c>
      <c r="C27" s="3">
        <v>54428</v>
      </c>
      <c r="D27" s="2">
        <v>2018</v>
      </c>
      <c r="E27" s="4">
        <f t="shared" si="2"/>
        <v>7.0257955464099367E-2</v>
      </c>
    </row>
    <row r="28" spans="1:5" x14ac:dyDescent="0.2">
      <c r="A28" s="2">
        <v>2023</v>
      </c>
      <c r="B28" s="3">
        <v>2637</v>
      </c>
      <c r="C28" s="3">
        <v>43887</v>
      </c>
      <c r="D28" s="2">
        <v>2019</v>
      </c>
      <c r="E28" s="4">
        <f t="shared" si="2"/>
        <v>6.0086130289151683E-2</v>
      </c>
    </row>
    <row r="29" spans="1:5" x14ac:dyDescent="0.2">
      <c r="A29" s="2">
        <v>2024</v>
      </c>
      <c r="B29" s="3">
        <v>3553</v>
      </c>
      <c r="C29" s="3">
        <v>42011</v>
      </c>
      <c r="D29" s="2">
        <v>2020</v>
      </c>
      <c r="E29" s="4">
        <f t="shared" si="2"/>
        <v>8.4573088000761701E-2</v>
      </c>
    </row>
  </sheetData>
  <mergeCells count="5">
    <mergeCell ref="A1:E1"/>
    <mergeCell ref="A10:E10"/>
    <mergeCell ref="A11:E11"/>
    <mergeCell ref="A20:E20"/>
    <mergeCell ref="A21:E2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22"/>
  <sheetViews>
    <sheetView tabSelected="1" zoomScaleNormal="100" workbookViewId="0">
      <selection activeCell="A2" sqref="A2:K10"/>
    </sheetView>
  </sheetViews>
  <sheetFormatPr defaultColWidth="11.5703125" defaultRowHeight="12.75" x14ac:dyDescent="0.2"/>
  <cols>
    <col min="1" max="1" width="9.140625" style="5" bestFit="1" customWidth="1"/>
    <col min="2" max="2" width="8" style="5" customWidth="1"/>
    <col min="3" max="3" width="9.85546875" style="5" customWidth="1"/>
    <col min="4" max="4" width="10.7109375" style="5" customWidth="1"/>
    <col min="5" max="5" width="8.140625" style="5" customWidth="1"/>
    <col min="6" max="6" width="10" style="5" customWidth="1"/>
    <col min="7" max="7" width="10.7109375" style="5" customWidth="1"/>
    <col min="8" max="8" width="8" style="5" customWidth="1"/>
    <col min="9" max="9" width="10.140625" style="5" customWidth="1"/>
    <col min="10" max="10" width="10.7109375" style="5" customWidth="1"/>
    <col min="11" max="11" width="8" style="5" customWidth="1"/>
    <col min="12" max="16384" width="11.5703125" style="5"/>
  </cols>
  <sheetData>
    <row r="2" spans="1:11" x14ac:dyDescent="0.2">
      <c r="A2" s="9" t="s">
        <v>8</v>
      </c>
      <c r="B2" s="9"/>
      <c r="C2" s="10" t="s">
        <v>0</v>
      </c>
      <c r="D2" s="10"/>
      <c r="E2" s="10"/>
      <c r="F2" s="11" t="s">
        <v>6</v>
      </c>
      <c r="G2" s="11"/>
      <c r="H2" s="11"/>
      <c r="I2" s="12" t="s">
        <v>7</v>
      </c>
      <c r="J2" s="12"/>
      <c r="K2" s="12"/>
    </row>
    <row r="3" spans="1:11" x14ac:dyDescent="0.2">
      <c r="A3" s="6" t="s">
        <v>10</v>
      </c>
      <c r="B3" s="6" t="s">
        <v>9</v>
      </c>
      <c r="C3" s="6" t="s">
        <v>2</v>
      </c>
      <c r="D3" s="6" t="s">
        <v>3</v>
      </c>
      <c r="E3" s="6" t="s">
        <v>11</v>
      </c>
      <c r="F3" s="6" t="s">
        <v>2</v>
      </c>
      <c r="G3" s="6" t="s">
        <v>3</v>
      </c>
      <c r="H3" s="6" t="s">
        <v>11</v>
      </c>
      <c r="I3" s="6" t="s">
        <v>2</v>
      </c>
      <c r="J3" s="6" t="s">
        <v>3</v>
      </c>
      <c r="K3" s="6" t="s">
        <v>11</v>
      </c>
    </row>
    <row r="4" spans="1:11" x14ac:dyDescent="0.2">
      <c r="A4" s="2">
        <v>2018</v>
      </c>
      <c r="B4" s="2">
        <v>2014</v>
      </c>
      <c r="C4" s="3">
        <v>30743</v>
      </c>
      <c r="D4" s="3">
        <v>62399</v>
      </c>
      <c r="E4" s="4">
        <f t="shared" ref="E4:E10" si="0">C4/D4</f>
        <v>0.49268417763105177</v>
      </c>
      <c r="F4" s="3">
        <v>209</v>
      </c>
      <c r="G4" s="3">
        <v>302</v>
      </c>
      <c r="H4" s="4">
        <f t="shared" ref="H4:H10" si="1">F4/G4</f>
        <v>0.69205298013245031</v>
      </c>
      <c r="I4" s="3">
        <v>7441</v>
      </c>
      <c r="J4" s="3">
        <v>24476</v>
      </c>
      <c r="K4" s="4">
        <f t="shared" ref="K4:K10" si="2">I4/J4</f>
        <v>0.30401209347932667</v>
      </c>
    </row>
    <row r="5" spans="1:11" x14ac:dyDescent="0.2">
      <c r="A5" s="2">
        <v>2019</v>
      </c>
      <c r="B5" s="2">
        <v>2015</v>
      </c>
      <c r="C5" s="3">
        <v>30068</v>
      </c>
      <c r="D5" s="3">
        <v>63610</v>
      </c>
      <c r="E5" s="4">
        <f t="shared" si="0"/>
        <v>0.47269297280301842</v>
      </c>
      <c r="F5" s="3">
        <v>55</v>
      </c>
      <c r="G5" s="3">
        <v>21</v>
      </c>
      <c r="H5" s="4">
        <f t="shared" si="1"/>
        <v>2.6190476190476191</v>
      </c>
      <c r="I5" s="3">
        <v>2767</v>
      </c>
      <c r="J5" s="3">
        <v>6278</v>
      </c>
      <c r="K5" s="4">
        <f t="shared" si="2"/>
        <v>0.44074546033768713</v>
      </c>
    </row>
    <row r="6" spans="1:11" x14ac:dyDescent="0.2">
      <c r="A6" s="2">
        <v>2020</v>
      </c>
      <c r="B6" s="2">
        <v>2016</v>
      </c>
      <c r="C6" s="3">
        <v>20429</v>
      </c>
      <c r="D6" s="3">
        <v>62641</v>
      </c>
      <c r="E6" s="4">
        <f t="shared" si="0"/>
        <v>0.32612825465749268</v>
      </c>
      <c r="F6" s="3">
        <v>155</v>
      </c>
      <c r="G6" s="3">
        <v>370</v>
      </c>
      <c r="H6" s="4">
        <f t="shared" si="1"/>
        <v>0.41891891891891891</v>
      </c>
      <c r="I6" s="3">
        <v>5535</v>
      </c>
      <c r="J6" s="8">
        <v>8039</v>
      </c>
      <c r="K6" s="4">
        <f t="shared" si="2"/>
        <v>0.68851847244682174</v>
      </c>
    </row>
    <row r="7" spans="1:11" x14ac:dyDescent="0.2">
      <c r="A7" s="2">
        <v>2021</v>
      </c>
      <c r="B7" s="2">
        <v>2017</v>
      </c>
      <c r="C7" s="3">
        <v>21806</v>
      </c>
      <c r="D7" s="3">
        <v>60835</v>
      </c>
      <c r="E7" s="4">
        <f t="shared" si="0"/>
        <v>0.35844497411029835</v>
      </c>
      <c r="F7" s="3">
        <v>73</v>
      </c>
      <c r="G7" s="3">
        <v>239</v>
      </c>
      <c r="H7" s="4">
        <f t="shared" si="1"/>
        <v>0.30543933054393307</v>
      </c>
      <c r="I7" s="3">
        <v>7192</v>
      </c>
      <c r="J7" s="3">
        <v>31742</v>
      </c>
      <c r="K7" s="4">
        <f t="shared" si="2"/>
        <v>0.2265767752504568</v>
      </c>
    </row>
    <row r="8" spans="1:11" x14ac:dyDescent="0.2">
      <c r="A8" s="2">
        <v>2022</v>
      </c>
      <c r="B8" s="2">
        <v>2018</v>
      </c>
      <c r="C8" s="3">
        <v>25774</v>
      </c>
      <c r="D8" s="3">
        <v>64081</v>
      </c>
      <c r="E8" s="4">
        <f t="shared" si="0"/>
        <v>0.40220970334420497</v>
      </c>
      <c r="F8" s="3">
        <v>21</v>
      </c>
      <c r="G8" s="3">
        <v>169</v>
      </c>
      <c r="H8" s="4">
        <f t="shared" si="1"/>
        <v>0.1242603550295858</v>
      </c>
      <c r="I8" s="3">
        <v>3824</v>
      </c>
      <c r="J8" s="3">
        <v>13115</v>
      </c>
      <c r="K8" s="4">
        <f t="shared" si="2"/>
        <v>0.29157453297750668</v>
      </c>
    </row>
    <row r="9" spans="1:11" x14ac:dyDescent="0.2">
      <c r="A9" s="2">
        <v>2023</v>
      </c>
      <c r="B9" s="2">
        <v>2019</v>
      </c>
      <c r="C9" s="3">
        <v>27693</v>
      </c>
      <c r="D9" s="3">
        <v>62632</v>
      </c>
      <c r="E9" s="4">
        <f t="shared" si="0"/>
        <v>0.44215417039213184</v>
      </c>
      <c r="F9" s="3">
        <v>23</v>
      </c>
      <c r="G9" s="3">
        <v>33</v>
      </c>
      <c r="H9" s="4">
        <f t="shared" si="1"/>
        <v>0.69696969696969702</v>
      </c>
      <c r="I9" s="3">
        <v>2637</v>
      </c>
      <c r="J9" s="3">
        <v>7819</v>
      </c>
      <c r="K9" s="4">
        <f t="shared" si="2"/>
        <v>0.33725540350428446</v>
      </c>
    </row>
    <row r="10" spans="1:11" x14ac:dyDescent="0.2">
      <c r="A10" s="2">
        <v>2024</v>
      </c>
      <c r="B10" s="2">
        <v>2020</v>
      </c>
      <c r="C10" s="3">
        <v>27506</v>
      </c>
      <c r="D10" s="3">
        <v>58258</v>
      </c>
      <c r="E10" s="4">
        <f t="shared" si="0"/>
        <v>0.47214116516186616</v>
      </c>
      <c r="F10" s="3">
        <v>35</v>
      </c>
      <c r="G10" s="3">
        <v>296</v>
      </c>
      <c r="H10" s="4">
        <f t="shared" si="1"/>
        <v>0.11824324324324324</v>
      </c>
      <c r="I10" s="3">
        <v>3553</v>
      </c>
      <c r="J10" s="3">
        <v>12648</v>
      </c>
      <c r="K10" s="4">
        <f t="shared" si="2"/>
        <v>0.28091397849462363</v>
      </c>
    </row>
    <row r="16" spans="1:11" x14ac:dyDescent="0.2">
      <c r="A16" s="2"/>
      <c r="B16" s="2"/>
    </row>
    <row r="17" spans="1:19" x14ac:dyDescent="0.2">
      <c r="A17" s="2"/>
      <c r="B17" s="2"/>
      <c r="M17" s="7">
        <v>62399</v>
      </c>
      <c r="N17" s="7">
        <v>63610</v>
      </c>
      <c r="O17" s="7">
        <v>62641</v>
      </c>
      <c r="P17" s="7">
        <v>60835</v>
      </c>
      <c r="Q17" s="7">
        <v>64081</v>
      </c>
      <c r="R17" s="7">
        <v>62632</v>
      </c>
      <c r="S17" s="7">
        <v>58258</v>
      </c>
    </row>
    <row r="18" spans="1:19" x14ac:dyDescent="0.2">
      <c r="A18" s="2"/>
      <c r="B18" s="2"/>
      <c r="M18" s="7">
        <v>24476</v>
      </c>
      <c r="N18" s="7">
        <v>6278</v>
      </c>
      <c r="O18" s="7">
        <v>8039</v>
      </c>
      <c r="P18" s="7">
        <v>31742</v>
      </c>
      <c r="Q18" s="7">
        <v>13115</v>
      </c>
      <c r="R18" s="7">
        <v>7819</v>
      </c>
      <c r="S18" s="7">
        <v>12648</v>
      </c>
    </row>
    <row r="19" spans="1:19" x14ac:dyDescent="0.2">
      <c r="A19" s="2"/>
      <c r="B19" s="2"/>
      <c r="M19" s="7">
        <v>302</v>
      </c>
      <c r="N19" s="7">
        <v>21</v>
      </c>
      <c r="O19" s="7">
        <v>370</v>
      </c>
      <c r="P19" s="7">
        <v>239</v>
      </c>
      <c r="Q19" s="7">
        <v>169</v>
      </c>
      <c r="R19" s="7">
        <v>33</v>
      </c>
      <c r="S19" s="7">
        <v>296</v>
      </c>
    </row>
    <row r="20" spans="1:19" x14ac:dyDescent="0.2">
      <c r="A20" s="2"/>
      <c r="B20" s="2"/>
    </row>
    <row r="21" spans="1:19" x14ac:dyDescent="0.2">
      <c r="A21" s="2"/>
      <c r="B21" s="2"/>
    </row>
    <row r="22" spans="1:19" x14ac:dyDescent="0.2">
      <c r="A22" s="2"/>
      <c r="B22" s="2"/>
    </row>
  </sheetData>
  <mergeCells count="4">
    <mergeCell ref="A2:B2"/>
    <mergeCell ref="C2:E2"/>
    <mergeCell ref="F2:H2"/>
    <mergeCell ref="I2:K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Razão Conc_Ingr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Ocimar Luis Zolin</cp:lastModifiedBy>
  <cp:revision>4</cp:revision>
  <dcterms:created xsi:type="dcterms:W3CDTF">2026-07-13T19:24:17Z</dcterms:created>
  <dcterms:modified xsi:type="dcterms:W3CDTF">2026-07-27T17:39:30Z</dcterms:modified>
  <dc:language>pt-BR</dc:language>
</cp:coreProperties>
</file>