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316975B3-367E-4F56-9BA2-4365BAC2FD34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O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<sst xmlns="http://schemas.openxmlformats.org/spreadsheetml/2006/main" count="19" uniqueCount="17">
  <si>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</si>
  <si>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</si>
  <si>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</si>
  <si>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</si>
  <si>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</si>
  <si>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</si>
  <si>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</si>
  <si>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</si>
  <si>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</si>
  <si>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</si>
  <si>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</si>
  <si>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</si>
  <si>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</si>
  <si>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Ingressantes nas Ufs EaD</t>
  </si>
  <si>
    <t>Ingressantes nas Ufs Presencial</t>
  </si>
  <si>
    <t>Ingressantes nas Ufs UAB</t>
  </si>
  <si>
    <t>Total Ingressantes nas 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</si>
</sst>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Ingressantes nas Ufs 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302</c:v>
                </c:pt>
                <c:pt idx="1">
                  <c:v>21</c:v>
                </c:pt>
                <c:pt idx="2">
                  <c:v>370</c:v>
                </c:pt>
                <c:pt idx="3">
                  <c:v>239</c:v>
                </c:pt>
                <c:pt idx="4">
                  <c:v>169</c:v>
                </c:pt>
                <c:pt idx="5">
                  <c:v>33</c:v>
                </c:pt>
                <c:pt idx="6">
                  <c:v>296</c:v>
                </c:pt>
                <c:pt idx="7">
                  <c:v>64</c:v>
                </c:pt>
                <c:pt idx="8">
                  <c:v>367</c:v>
                </c:pt>
                <c:pt idx="9">
                  <c:v>194</c:v>
                </c:pt>
                <c:pt idx="10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7-45E7-949B-41CEA9F62B08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Ingressantes nas Ufs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62399</c:v>
                </c:pt>
                <c:pt idx="1">
                  <c:v>63610</c:v>
                </c:pt>
                <c:pt idx="2">
                  <c:v>62641</c:v>
                </c:pt>
                <c:pt idx="3">
                  <c:v>60835</c:v>
                </c:pt>
                <c:pt idx="4">
                  <c:v>64081</c:v>
                </c:pt>
                <c:pt idx="5">
                  <c:v>62632</c:v>
                </c:pt>
                <c:pt idx="6">
                  <c:v>58258</c:v>
                </c:pt>
                <c:pt idx="7">
                  <c:v>50892</c:v>
                </c:pt>
                <c:pt idx="8">
                  <c:v>52592</c:v>
                </c:pt>
                <c:pt idx="9">
                  <c:v>53730</c:v>
                </c:pt>
                <c:pt idx="10">
                  <c:v>54008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7-45E7-949B-41CEA9F62B08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Ingressantes nas Ufs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24476</c:v>
                </c:pt>
                <c:pt idx="1">
                  <c:v>6278</c:v>
                </c:pt>
                <c:pt idx="2">
                  <c:v>8039</c:v>
                </c:pt>
                <c:pt idx="3">
                  <c:v>31742</c:v>
                </c:pt>
                <c:pt idx="4">
                  <c:v>13115</c:v>
                </c:pt>
                <c:pt idx="5">
                  <c:v>7819</c:v>
                </c:pt>
                <c:pt idx="6">
                  <c:v>12648</c:v>
                </c:pt>
                <c:pt idx="7">
                  <c:v>9200</c:v>
                </c:pt>
                <c:pt idx="8">
                  <c:v>9582</c:v>
                </c:pt>
                <c:pt idx="9">
                  <c:v>19768</c:v>
                </c:pt>
                <c:pt idx="10">
                  <c:v>16921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37-45E7-949B-41CEA9F62B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77773391"/>
        <c:axId val="1677799791"/>
      </c:lineChart>
      <c:catAx>
        <c:axId val="1677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77799791"/>
        <c:crosses val="autoZero"/>
        <c:auto val="1"/>
        <c:lblAlgn val="ctr"/>
        <c:lblOffset val="100"/>
        <c:noMultiLvlLbl val="0"/>
      </c:catAx>
      <c:valAx>
        <c:axId val="1677799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67777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11</xdr:row>
      <xdr:rowOff>52387</xdr:rowOff>
    </xdr:from>
    <xdr:to>
      <xdr:col>12</xdr:col>
      <xdr:colOff>647700</xdr:colOff>
      <xdr:row>24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E9608C-4510-9EB3-3527-1C6CA8B2C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C2" sqref="C2:I2"/>
    </sheetView>
  </sheetViews>
  <sheetFormatPr defaultRowHeight="15" x14ac:dyDescent="0.25"/>
  <cols>
    <col min="1" max="1" width="11" customWidth="1"/>
    <col min="2" max="2" width="21.7109375" customWidth="1"/>
    <col min="3" max="13" width="10" customWidth="1"/>
  </cols>
  <sheetData>
    <row r="1" spans="1:1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5" x14ac:dyDescent="0.25">
      <c r="A2" s="1" t="s">
        <v>12</v>
      </c>
      <c r="B2" s="1" t="s">
        <v>13</v>
      </c>
      <c r="C2" s="2">
        <v>302</v>
      </c>
      <c r="D2" s="2">
        <v>21</v>
      </c>
      <c r="E2" s="2">
        <v>370</v>
      </c>
      <c r="F2" s="2">
        <v>239</v>
      </c>
      <c r="G2" s="2">
        <v>169</v>
      </c>
      <c r="H2" s="2">
        <v>33</v>
      </c>
      <c r="I2" s="2">
        <v>296</v>
      </c>
      <c r="J2" s="2">
        <v>64</v>
      </c>
      <c r="K2" s="2">
        <v>367</v>
      </c>
      <c r="L2" s="2">
        <v>194</v>
      </c>
      <c r="M2" s="2">
        <v>319</v>
      </c>
      <c r="O2" s="4">
        <f t="shared" ref="O2:O4" si="0">M2/C2-1</f>
        <v>5.6291390728476776E-2</v>
      </c>
    </row>
    <row r="3" spans="1:15" x14ac:dyDescent="0.25">
      <c r="A3" s="1" t="s">
        <v>12</v>
      </c>
      <c r="B3" s="1" t="s">
        <v>14</v>
      </c>
      <c r="C3" s="2">
        <v>62399</v>
      </c>
      <c r="D3" s="2">
        <v>63610</v>
      </c>
      <c r="E3" s="2">
        <v>62641</v>
      </c>
      <c r="F3" s="2">
        <v>60835</v>
      </c>
      <c r="G3" s="2">
        <v>64081</v>
      </c>
      <c r="H3" s="2">
        <v>62632</v>
      </c>
      <c r="I3" s="2">
        <v>58258</v>
      </c>
      <c r="J3" s="2">
        <v>50892</v>
      </c>
      <c r="K3" s="2">
        <v>52592</v>
      </c>
      <c r="L3" s="2">
        <v>53730</v>
      </c>
      <c r="M3" s="2">
        <v>54008</v>
      </c>
      <c r="O3" s="4">
        <f t="shared" si="0"/>
        <v>-0.13447330886712927</v>
      </c>
    </row>
    <row r="4" spans="1:15" x14ac:dyDescent="0.25">
      <c r="A4" s="1" t="s">
        <v>12</v>
      </c>
      <c r="B4" s="1" t="s">
        <v>15</v>
      </c>
      <c r="C4" s="2">
        <v>24476</v>
      </c>
      <c r="D4" s="2">
        <v>6278</v>
      </c>
      <c r="E4" s="2">
        <v>8039</v>
      </c>
      <c r="F4" s="2">
        <v>31742</v>
      </c>
      <c r="G4" s="2">
        <v>13115</v>
      </c>
      <c r="H4" s="2">
        <v>7819</v>
      </c>
      <c r="I4" s="2">
        <v>12648</v>
      </c>
      <c r="J4" s="2">
        <v>9200</v>
      </c>
      <c r="K4" s="2">
        <v>9582</v>
      </c>
      <c r="L4" s="2">
        <v>19768</v>
      </c>
      <c r="M4" s="2">
        <v>16921</v>
      </c>
      <c r="O4" s="4">
        <f t="shared" si="0"/>
        <v>-0.30866971727406434</v>
      </c>
    </row>
    <row r="5" spans="1:15" x14ac:dyDescent="0.25">
      <c r="B5" s="1" t="s">
        <v>16</v>
      </c>
      <c r="C5" s="3">
        <f>C2+C3+C4</f>
        <v>87177</v>
      </c>
      <c r="D5" s="3">
        <f t="shared" ref="D5:M5" si="1">D2+D3+D4</f>
        <v>69909</v>
      </c>
      <c r="E5" s="3">
        <f t="shared" si="1"/>
        <v>71050</v>
      </c>
      <c r="F5" s="3">
        <f t="shared" si="1"/>
        <v>92816</v>
      </c>
      <c r="G5" s="3">
        <f t="shared" si="1"/>
        <v>77365</v>
      </c>
      <c r="H5" s="3">
        <f t="shared" si="1"/>
        <v>70484</v>
      </c>
      <c r="I5" s="3">
        <f t="shared" si="1"/>
        <v>71202</v>
      </c>
      <c r="J5" s="3">
        <f t="shared" si="1"/>
        <v>60156</v>
      </c>
      <c r="K5" s="3">
        <f t="shared" si="1"/>
        <v>62541</v>
      </c>
      <c r="L5" s="3">
        <f t="shared" si="1"/>
        <v>73692</v>
      </c>
      <c r="M5" s="3">
        <f t="shared" si="1"/>
        <v>71248</v>
      </c>
      <c r="O5" s="4">
        <f>M5/C5-1</f>
        <v>-0.18272021290019158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2026-07-25T14:10:40Z</dcterms:created>
  <dcterms:modified xsi:type="dcterms:W3CDTF">2026-07-27T17:28:27Z</dcterms:modified>
</cp:coreProperties>
</file>