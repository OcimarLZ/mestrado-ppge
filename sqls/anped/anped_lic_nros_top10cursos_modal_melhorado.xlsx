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anped\"/>
    </mc:Choice>
  </mc:AlternateContent>
  <xr:revisionPtr revIDLastSave="0" documentId="13_ncr:1_{90CA3387-87F5-4425-B5EA-67458C9CFB6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dos" sheetId="1" r:id="rId1"/>
    <sheet name="Planilha1" sheetId="2" r:id="rId2"/>
    <sheet name="Planilha2" sheetId="3" r:id="rId3"/>
  </sheets>
  <definedNames>
    <definedName name="_xlchart.v1.0" hidden="1">Planilha1!$S$1:$T$6</definedName>
    <definedName name="_xlchart.v1.1" hidden="1">Planilha1!$U$1:$U$6</definedName>
    <definedName name="_xlchart.v1.2" hidden="1">Planilha1!$S$1:$T$6</definedName>
    <definedName name="_xlchart.v1.3" hidden="1">Planilha1!$U$1:$U$6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1" i="2" l="1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W6" i="2"/>
  <c r="V6" i="2"/>
  <c r="U6" i="2"/>
  <c r="P6" i="2"/>
  <c r="W5" i="2"/>
  <c r="V5" i="2"/>
  <c r="U5" i="2"/>
  <c r="P5" i="2"/>
  <c r="W4" i="2"/>
  <c r="V4" i="2"/>
  <c r="U4" i="2"/>
  <c r="P4" i="2"/>
  <c r="W3" i="2"/>
  <c r="V3" i="2"/>
  <c r="U3" i="2"/>
  <c r="P3" i="2"/>
  <c r="W2" i="2"/>
  <c r="V2" i="2"/>
  <c r="U2" i="2"/>
  <c r="P2" i="2"/>
</calcChain>
</file>

<file path=xl/sharedStrings.xml><?xml version="1.0" encoding="utf-8"?>
<sst xmlns="http://schemas.openxmlformats.org/spreadsheetml/2006/main" count="325" uniqueCount="44">
  <si>
    <t>cine_rotulo</t>
  </si>
  <si>
    <t>modalidade</t>
  </si>
  <si>
    <t>agrupamento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</si>
  <si>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</si>
  <si>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</si>
  <si>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</si>
  <si>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</si>
  <si>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</si>
  <si>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</si>
  <si>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</si>
  <si>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</si>
  <si>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</si>
  <si>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</si>
  <si>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</si>
  <si>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Artes Visuais</t>
  </si>
  <si>
    <t>Ead</t>
  </si>
  <si>
    <t>Concluites</t>
  </si>
  <si>
    <t>Evadidos</t>
  </si>
  <si>
    <t>Ingressos</t>
  </si>
  <si>
    <t>Matriculas</t>
  </si>
  <si>
    <t>Trancados</t>
  </si>
  <si>
    <t>Presencial</t>
  </si>
  <si>
    <t>Biologia</t>
  </si>
  <si>
    <t>Ciências Sociais</t>
  </si>
  <si>
    <t>Educação Especial</t>
  </si>
  <si>
    <t>Educação Física</t>
  </si>
  <si>
    <t>Geografia</t>
  </si>
  <si>
    <t>História</t>
  </si>
  <si>
    <t>Letras Português</t>
  </si>
  <si>
    <t>Matemática</t>
  </si>
  <si>
    <t>Pedagogia</t>
  </si>
  <si>
    <t>Curso</t>
  </si>
  <si>
    <t>Modalidade</t>
  </si>
  <si>
    <t>Indicador</t>
  </si>
  <si>
    <t>Matrículas</t>
  </si>
  <si>
    <t>Concluintes</t>
  </si>
  <si>
    <t>Fonte: Elaborada pelos autores a partir dos microdados do INEP (2014-2024)</t>
  </si>
  <si>
    <t>Etapa do Funil</t>
  </si>
  <si>
    <t>Quantidade</t>
  </si>
  <si>
    <t>Leads</t>
  </si>
  <si>
    <t>Qualificados</t>
  </si>
  <si>
    <t>Proposta</t>
  </si>
  <si>
    <t>Negociação</t>
  </si>
  <si>
    <t>Fechado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</si>
</sst>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9" fontId="6" fillId="0" borderId="0" applyBorder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9" fontId="6" fillId="0" borderId="0" xfId="1" applyBorder="1" applyProtection="1"/>
    <xf numFmtId="3" fontId="0" fillId="0" borderId="0" xfId="0" applyNumberFormat="1"/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09B6B24F-06A7-4369-BB26-BB91323BC130}">
          <cx:spPr>
            <a:solidFill>
              <a:srgbClr val="4F81BD"/>
            </a:solidFill>
            <a:ln w="0">
              <a:noFill/>
            </a:ln>
          </cx:spPr>
          <cx:dataLabels>
            <cx:txPr>
              <a:bodyPr wrap="square" lIns="0" tIns="0" rIns="0" bIns="0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/>
              </a:p>
            </cx:txPr>
            <cx:separator>, </cx:separator>
          </cx:dataLabels>
          <cx:dataId val="0"/>
          <cx:layoutPr/>
        </cx:series>
      </cx:plotAreaRegion>
      <cx:spPr>
        <a:solidFill>
          <a:srgbClr val="FFFFFF"/>
        </a:solidFill>
        <a:ln w="0">
          <a:noFill/>
        </a:ln>
      </cx:spPr>
    </cx:plotArea>
  </cx:chart>
  <cx:spPr>
    <a:solidFill>
      <a:srgbClr val="FFFFFF"/>
    </a:solidFill>
    <a:ln w="9360">
      <a:solidFill>
        <a:srgbClr val="D9D9D9"/>
      </a:solidFill>
      <a:round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plotArea>
      <cx:plotAreaRegion>
        <cx:series layoutId="treemap" uniqueId="{0E75E2FF-F562-4785-AE8B-2970CF274EF4}">
          <cx:spPr>
            <a:solidFill>
              <a:srgbClr val="4F81BD"/>
            </a:solidFill>
            <a:ln w="0">
              <a:noFill/>
            </a:ln>
          </cx:spPr>
          <cx:dataLabels>
            <cx:txPr>
              <a:bodyPr wrap="square" lIns="0" tIns="0" rIns="0" bIns="0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/>
              </a:p>
            </cx:txPr>
            <cx:separator>; </cx:separator>
          </cx:dataLabels>
          <cx:dataId val="0"/>
          <cx:layoutPr/>
        </cx:series>
      </cx:plotAreaRegion>
      <cx:spPr>
        <a:solidFill>
          <a:srgbClr val="FFFFFF"/>
        </a:solidFill>
        <a:ln w="0">
          <a:noFill/>
        </a:ln>
      </cx:spPr>
    </cx:plotArea>
    <cx:legend pos="b" align="ctr" overlay="0">
      <cx:spPr>
        <a:noFill/>
        <a:ln w="0">
          <a:noFill/>
        </a:ln>
      </cx:spPr>
      <cx:txPr>
        <a:bodyPr lIns="0" tIns="0" rIns="0" bIns="0"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/>
        </a:p>
      </cx:txPr>
    </cx:legend>
  </cx:chart>
  <cx:spPr>
    <a:solidFill>
      <a:srgbClr val="FFFFFF"/>
    </a:solidFill>
    <a:ln w="9360">
      <a:solidFill>
        <a:srgbClr val="D9D9D9"/>
      </a:solidFill>
      <a:round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Título do gráfico</cx:v>
        </cx:txData>
      </cx:tx>
      <cx:spPr>
        <a:noFill/>
        <a:ln w="0">
          <a:noFill/>
        </a:ln>
      </cx:spPr>
      <cx:txPr>
        <a:bodyPr rot="0" lIns="0" tIns="0" rIns="0" bIns="0"/>
        <a:lstStyle/>
        <a:p>
          <a:pPr>
            <a:defRPr sz="1300" b="0" u="none" strike="noStrike">
              <a:uFillTx/>
              <a:latin typeface="Arial"/>
            </a:defRPr>
          </a:pPr>
          <a:r>
            <a:rPr sz="1800" b="1" u="none" strike="noStrike">
              <a:solidFill>
                <a:srgbClr val="000000"/>
              </a:solidFill>
              <a:uFillTx/>
              <a:latin typeface="Calibri"/>
            </a:rPr>
            <a:t>Título do gráfico</a:t>
          </a:r>
        </a:p>
      </cx:txPr>
    </cx:title>
    <cx:plotArea>
      <cx:plotAreaRegion>
        <cx:series layoutId="funnel" uniqueId="{7A401F1B-7DB0-4917-A3F4-609F6365CB64}">
          <cx:spPr>
            <a:solidFill>
              <a:srgbClr val="4F81BD"/>
            </a:solidFill>
            <a:ln w="0">
              <a:noFill/>
            </a:ln>
          </cx:spPr>
          <cx:dataLabels>
            <cx:txPr>
              <a:bodyPr wrap="square" lIns="0" tIns="0" rIns="0" bIns="0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/>
              </a:p>
            </cx:txPr>
            <cx:separator>; </cx:separator>
          </cx:dataLabels>
          <cx:dataId val="0"/>
        </cx:series>
      </cx:plotAreaRegion>
      <cx:axis id="1">
        <cx:catScaling/>
        <cx:tickLabels/>
      </cx:axis>
      <cx:spPr>
        <a:solidFill>
          <a:srgbClr val="FFFFFF"/>
        </a:solidFill>
        <a:ln w="0">
          <a:noFill/>
        </a:ln>
      </cx:spPr>
    </cx:plotArea>
  </cx:chart>
  <cx:spPr>
    <a:solidFill>
      <a:srgbClr val="FFFFFF"/>
    </a:solidFill>
    <a:ln w="9360">
      <a:solidFill>
        <a:srgbClr val="D9D9D9"/>
      </a:solidFill>
      <a:round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47520</xdr:colOff>
      <xdr:row>7</xdr:row>
      <xdr:rowOff>138240</xdr:rowOff>
    </xdr:from>
    <xdr:to>
      <xdr:col>26</xdr:col>
      <xdr:colOff>504360</xdr:colOff>
      <xdr:row>19</xdr:row>
      <xdr:rowOff>104400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3970" y="1471740"/>
              <a:ext cx="5857515" cy="2252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47520</xdr:colOff>
      <xdr:row>22</xdr:row>
      <xdr:rowOff>128520</xdr:rowOff>
    </xdr:from>
    <xdr:to>
      <xdr:col>26</xdr:col>
      <xdr:colOff>504360</xdr:colOff>
      <xdr:row>37</xdr:row>
      <xdr:rowOff>14040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1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3970" y="4319520"/>
              <a:ext cx="5857515" cy="2743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533520</xdr:colOff>
      <xdr:row>7</xdr:row>
      <xdr:rowOff>52560</xdr:rowOff>
    </xdr:from>
    <xdr:to>
      <xdr:col>18</xdr:col>
      <xdr:colOff>228240</xdr:colOff>
      <xdr:row>21</xdr:row>
      <xdr:rowOff>128520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1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3770" y="2452860"/>
              <a:ext cx="4342920" cy="2742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zoomScaleNormal="100" workbookViewId="0"/>
  </sheetViews>
  <sheetFormatPr defaultColWidth="8.7109375" defaultRowHeight="15" x14ac:dyDescent="0.25"/>
  <cols>
    <col min="1" max="1" width="15.42578125" customWidth="1"/>
    <col min="2" max="2" width="10.28515625" customWidth="1"/>
    <col min="3" max="3" width="11.7109375" customWidth="1"/>
    <col min="4" max="14" width="8.28515625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1" t="s">
        <v>14</v>
      </c>
      <c r="B2" s="5" t="s">
        <v>15</v>
      </c>
      <c r="C2" s="5" t="s">
        <v>16</v>
      </c>
      <c r="D2" s="6">
        <v>1189</v>
      </c>
      <c r="E2" s="6">
        <v>1789</v>
      </c>
      <c r="F2" s="6">
        <v>1130</v>
      </c>
      <c r="G2" s="6">
        <v>2567</v>
      </c>
      <c r="H2" s="6">
        <v>2206</v>
      </c>
      <c r="I2" s="6">
        <v>2623</v>
      </c>
      <c r="J2" s="6">
        <v>3171</v>
      </c>
      <c r="K2" s="6">
        <v>3201</v>
      </c>
      <c r="L2" s="6">
        <v>2702</v>
      </c>
      <c r="M2" s="6">
        <v>3017</v>
      </c>
      <c r="N2" s="6">
        <v>3296</v>
      </c>
    </row>
    <row r="3" spans="1:14" x14ac:dyDescent="0.25">
      <c r="A3" s="1"/>
      <c r="B3" s="5" t="s">
        <v>15</v>
      </c>
      <c r="C3" s="5" t="s">
        <v>17</v>
      </c>
      <c r="D3" s="6">
        <v>2485</v>
      </c>
      <c r="E3" s="6">
        <v>4505</v>
      </c>
      <c r="F3" s="6">
        <v>4412</v>
      </c>
      <c r="G3" s="6">
        <v>4000</v>
      </c>
      <c r="H3" s="6">
        <v>5906</v>
      </c>
      <c r="I3" s="6">
        <v>6039</v>
      </c>
      <c r="J3" s="6">
        <v>4832</v>
      </c>
      <c r="K3" s="6">
        <v>5932</v>
      </c>
      <c r="L3" s="6">
        <v>8222</v>
      </c>
      <c r="M3" s="6">
        <v>10382</v>
      </c>
      <c r="N3" s="6">
        <v>11973</v>
      </c>
    </row>
    <row r="4" spans="1:14" x14ac:dyDescent="0.25">
      <c r="A4" s="1"/>
      <c r="B4" s="5" t="s">
        <v>15</v>
      </c>
      <c r="C4" s="5" t="s">
        <v>18</v>
      </c>
      <c r="D4" s="6">
        <v>5444</v>
      </c>
      <c r="E4" s="6">
        <v>5433</v>
      </c>
      <c r="F4" s="6">
        <v>7795</v>
      </c>
      <c r="G4" s="6">
        <v>6325</v>
      </c>
      <c r="H4" s="6">
        <v>7656</v>
      </c>
      <c r="I4" s="6">
        <v>7988</v>
      </c>
      <c r="J4" s="6">
        <v>11181</v>
      </c>
      <c r="K4" s="6">
        <v>10982</v>
      </c>
      <c r="L4" s="6">
        <v>14660</v>
      </c>
      <c r="M4" s="6">
        <v>15352</v>
      </c>
      <c r="N4" s="6">
        <v>13656</v>
      </c>
    </row>
    <row r="5" spans="1:14" x14ac:dyDescent="0.25">
      <c r="A5" s="1"/>
      <c r="B5" s="5" t="s">
        <v>15</v>
      </c>
      <c r="C5" s="5" t="s">
        <v>19</v>
      </c>
      <c r="D5" s="6">
        <v>8857</v>
      </c>
      <c r="E5" s="6">
        <v>9277</v>
      </c>
      <c r="F5" s="6">
        <v>11771</v>
      </c>
      <c r="G5" s="6">
        <v>12842</v>
      </c>
      <c r="H5" s="6">
        <v>12480</v>
      </c>
      <c r="I5" s="6">
        <v>12155</v>
      </c>
      <c r="J5" s="6">
        <v>15703</v>
      </c>
      <c r="K5" s="6">
        <v>17043</v>
      </c>
      <c r="L5" s="6">
        <v>19711</v>
      </c>
      <c r="M5" s="6">
        <v>21322</v>
      </c>
      <c r="N5" s="6">
        <v>21113</v>
      </c>
    </row>
    <row r="6" spans="1:14" x14ac:dyDescent="0.25">
      <c r="A6" s="1"/>
      <c r="B6" s="5" t="s">
        <v>15</v>
      </c>
      <c r="C6" s="5" t="s">
        <v>20</v>
      </c>
      <c r="D6" s="6">
        <v>1070</v>
      </c>
      <c r="E6" s="6">
        <v>822</v>
      </c>
      <c r="F6" s="6">
        <v>1326</v>
      </c>
      <c r="G6" s="6">
        <v>1946</v>
      </c>
      <c r="H6" s="6">
        <v>1753</v>
      </c>
      <c r="I6" s="6">
        <v>2050</v>
      </c>
      <c r="J6" s="6">
        <v>3395</v>
      </c>
      <c r="K6" s="6">
        <v>4194</v>
      </c>
      <c r="L6" s="6">
        <v>4912</v>
      </c>
      <c r="M6" s="6">
        <v>5721</v>
      </c>
      <c r="N6" s="6">
        <v>4878</v>
      </c>
    </row>
    <row r="7" spans="1:14" x14ac:dyDescent="0.25">
      <c r="A7" s="1"/>
      <c r="B7" s="5" t="s">
        <v>21</v>
      </c>
      <c r="C7" s="5" t="s">
        <v>16</v>
      </c>
      <c r="D7" s="6">
        <v>1793</v>
      </c>
      <c r="E7" s="6">
        <v>1667</v>
      </c>
      <c r="F7" s="6">
        <v>1760</v>
      </c>
      <c r="G7" s="6">
        <v>1607</v>
      </c>
      <c r="H7" s="6">
        <v>1558</v>
      </c>
      <c r="I7" s="6">
        <v>1324</v>
      </c>
      <c r="J7" s="6">
        <v>1073</v>
      </c>
      <c r="K7" s="6">
        <v>983</v>
      </c>
      <c r="L7" s="6">
        <v>1064</v>
      </c>
      <c r="M7" s="6">
        <v>1008</v>
      </c>
      <c r="N7" s="6">
        <v>907</v>
      </c>
    </row>
    <row r="8" spans="1:14" x14ac:dyDescent="0.25">
      <c r="A8" s="1"/>
      <c r="B8" s="5" t="s">
        <v>21</v>
      </c>
      <c r="C8" s="5" t="s">
        <v>17</v>
      </c>
      <c r="D8" s="6">
        <v>2259</v>
      </c>
      <c r="E8" s="6">
        <v>1984</v>
      </c>
      <c r="F8" s="6">
        <v>2332</v>
      </c>
      <c r="G8" s="6">
        <v>2062</v>
      </c>
      <c r="H8" s="6">
        <v>1866</v>
      </c>
      <c r="I8" s="6">
        <v>2298</v>
      </c>
      <c r="J8" s="6">
        <v>1267</v>
      </c>
      <c r="K8" s="6">
        <v>1077</v>
      </c>
      <c r="L8" s="6">
        <v>1507</v>
      </c>
      <c r="M8" s="6">
        <v>1537</v>
      </c>
      <c r="N8" s="6">
        <v>1571</v>
      </c>
    </row>
    <row r="9" spans="1:14" x14ac:dyDescent="0.25">
      <c r="A9" s="1"/>
      <c r="B9" s="5" t="s">
        <v>21</v>
      </c>
      <c r="C9" s="5" t="s">
        <v>18</v>
      </c>
      <c r="D9" s="6">
        <v>3695</v>
      </c>
      <c r="E9" s="6">
        <v>3500</v>
      </c>
      <c r="F9" s="6">
        <v>3295</v>
      </c>
      <c r="G9" s="6">
        <v>2770</v>
      </c>
      <c r="H9" s="6">
        <v>2692</v>
      </c>
      <c r="I9" s="6">
        <v>2603</v>
      </c>
      <c r="J9" s="6">
        <v>2377</v>
      </c>
      <c r="K9" s="6">
        <v>2067</v>
      </c>
      <c r="L9" s="6">
        <v>2038</v>
      </c>
      <c r="M9" s="6">
        <v>2425</v>
      </c>
      <c r="N9" s="6">
        <v>2173</v>
      </c>
    </row>
    <row r="10" spans="1:14" x14ac:dyDescent="0.25">
      <c r="A10" s="1"/>
      <c r="B10" s="5" t="s">
        <v>21</v>
      </c>
      <c r="C10" s="5" t="s">
        <v>19</v>
      </c>
      <c r="D10" s="6">
        <v>11288</v>
      </c>
      <c r="E10" s="6">
        <v>11268</v>
      </c>
      <c r="F10" s="6">
        <v>11319</v>
      </c>
      <c r="G10" s="6">
        <v>10552</v>
      </c>
      <c r="H10" s="6">
        <v>10062</v>
      </c>
      <c r="I10" s="6">
        <v>9504</v>
      </c>
      <c r="J10" s="6">
        <v>8219</v>
      </c>
      <c r="K10" s="6">
        <v>8925</v>
      </c>
      <c r="L10" s="6">
        <v>8730</v>
      </c>
      <c r="M10" s="6">
        <v>9096</v>
      </c>
      <c r="N10" s="6">
        <v>8786</v>
      </c>
    </row>
    <row r="11" spans="1:14" x14ac:dyDescent="0.25">
      <c r="A11" s="1"/>
      <c r="B11" s="5" t="s">
        <v>21</v>
      </c>
      <c r="C11" s="5" t="s">
        <v>20</v>
      </c>
      <c r="D11" s="6">
        <v>1548</v>
      </c>
      <c r="E11" s="6">
        <v>1774</v>
      </c>
      <c r="F11" s="6">
        <v>1590</v>
      </c>
      <c r="G11" s="6">
        <v>1582</v>
      </c>
      <c r="H11" s="6">
        <v>1595</v>
      </c>
      <c r="I11" s="6">
        <v>1187</v>
      </c>
      <c r="J11" s="6">
        <v>2099</v>
      </c>
      <c r="K11" s="6">
        <v>1654</v>
      </c>
      <c r="L11" s="6">
        <v>1555</v>
      </c>
      <c r="M11" s="6">
        <v>1253</v>
      </c>
      <c r="N11" s="6">
        <v>1405</v>
      </c>
    </row>
    <row r="12" spans="1:14" x14ac:dyDescent="0.25">
      <c r="A12" s="1" t="s">
        <v>22</v>
      </c>
      <c r="B12" s="5" t="s">
        <v>15</v>
      </c>
      <c r="C12" s="5" t="s">
        <v>16</v>
      </c>
      <c r="D12" s="6">
        <v>3077</v>
      </c>
      <c r="E12" s="6">
        <v>2230</v>
      </c>
      <c r="F12" s="6">
        <v>2687</v>
      </c>
      <c r="G12" s="6">
        <v>2554</v>
      </c>
      <c r="H12" s="6">
        <v>2930</v>
      </c>
      <c r="I12" s="6">
        <v>2759</v>
      </c>
      <c r="J12" s="6">
        <v>3663</v>
      </c>
      <c r="K12" s="6">
        <v>4026</v>
      </c>
      <c r="L12" s="6">
        <v>3021</v>
      </c>
      <c r="M12" s="6">
        <v>3203</v>
      </c>
      <c r="N12" s="6">
        <v>2970</v>
      </c>
    </row>
    <row r="13" spans="1:14" x14ac:dyDescent="0.25">
      <c r="A13" s="1"/>
      <c r="B13" s="5" t="s">
        <v>15</v>
      </c>
      <c r="C13" s="5" t="s">
        <v>17</v>
      </c>
      <c r="D13" s="6">
        <v>6601</v>
      </c>
      <c r="E13" s="6">
        <v>5533</v>
      </c>
      <c r="F13" s="6">
        <v>5737</v>
      </c>
      <c r="G13" s="6">
        <v>6639</v>
      </c>
      <c r="H13" s="6">
        <v>9063</v>
      </c>
      <c r="I13" s="6">
        <v>8082</v>
      </c>
      <c r="J13" s="6">
        <v>6745</v>
      </c>
      <c r="K13" s="6">
        <v>8232</v>
      </c>
      <c r="L13" s="6">
        <v>12093</v>
      </c>
      <c r="M13" s="6">
        <v>15006</v>
      </c>
      <c r="N13" s="6">
        <v>13701</v>
      </c>
    </row>
    <row r="14" spans="1:14" x14ac:dyDescent="0.25">
      <c r="A14" s="1"/>
      <c r="B14" s="5" t="s">
        <v>15</v>
      </c>
      <c r="C14" s="5" t="s">
        <v>18</v>
      </c>
      <c r="D14" s="6">
        <v>7627</v>
      </c>
      <c r="E14" s="6">
        <v>6687</v>
      </c>
      <c r="F14" s="6">
        <v>7790</v>
      </c>
      <c r="G14" s="6">
        <v>9887</v>
      </c>
      <c r="H14" s="6">
        <v>10872</v>
      </c>
      <c r="I14" s="6">
        <v>11083</v>
      </c>
      <c r="J14" s="6">
        <v>14834</v>
      </c>
      <c r="K14" s="6">
        <v>13459</v>
      </c>
      <c r="L14" s="6">
        <v>16576</v>
      </c>
      <c r="M14" s="6">
        <v>17020</v>
      </c>
      <c r="N14" s="6">
        <v>16462</v>
      </c>
    </row>
    <row r="15" spans="1:14" x14ac:dyDescent="0.25">
      <c r="A15" s="1"/>
      <c r="B15" s="5" t="s">
        <v>15</v>
      </c>
      <c r="C15" s="5" t="s">
        <v>19</v>
      </c>
      <c r="D15" s="6">
        <v>19328</v>
      </c>
      <c r="E15" s="6">
        <v>16384</v>
      </c>
      <c r="F15" s="6">
        <v>17489</v>
      </c>
      <c r="G15" s="6">
        <v>20500</v>
      </c>
      <c r="H15" s="6">
        <v>20930</v>
      </c>
      <c r="I15" s="6">
        <v>20686</v>
      </c>
      <c r="J15" s="6">
        <v>24990</v>
      </c>
      <c r="K15" s="6">
        <v>25938</v>
      </c>
      <c r="L15" s="6">
        <v>26911</v>
      </c>
      <c r="M15" s="6">
        <v>26092</v>
      </c>
      <c r="N15" s="6">
        <v>26044</v>
      </c>
    </row>
    <row r="16" spans="1:14" x14ac:dyDescent="0.25">
      <c r="A16" s="1"/>
      <c r="B16" s="5" t="s">
        <v>15</v>
      </c>
      <c r="C16" s="5" t="s">
        <v>20</v>
      </c>
      <c r="D16" s="6">
        <v>2335</v>
      </c>
      <c r="E16" s="6">
        <v>4234</v>
      </c>
      <c r="F16" s="6">
        <v>4869</v>
      </c>
      <c r="G16" s="6">
        <v>3461</v>
      </c>
      <c r="H16" s="6">
        <v>2806</v>
      </c>
      <c r="I16" s="6">
        <v>3880</v>
      </c>
      <c r="J16" s="6">
        <v>5490</v>
      </c>
      <c r="K16" s="6">
        <v>6553</v>
      </c>
      <c r="L16" s="6">
        <v>6553</v>
      </c>
      <c r="M16" s="6">
        <v>6913</v>
      </c>
      <c r="N16" s="6">
        <v>7771</v>
      </c>
    </row>
    <row r="17" spans="1:14" x14ac:dyDescent="0.25">
      <c r="A17" s="1"/>
      <c r="B17" s="5" t="s">
        <v>21</v>
      </c>
      <c r="C17" s="5" t="s">
        <v>16</v>
      </c>
      <c r="D17" s="6">
        <v>10512</v>
      </c>
      <c r="E17" s="6">
        <v>11514</v>
      </c>
      <c r="F17" s="6">
        <v>9976</v>
      </c>
      <c r="G17" s="6">
        <v>10161</v>
      </c>
      <c r="H17" s="6">
        <v>8889</v>
      </c>
      <c r="I17" s="6">
        <v>8667</v>
      </c>
      <c r="J17" s="6">
        <v>6300</v>
      </c>
      <c r="K17" s="6">
        <v>6590</v>
      </c>
      <c r="L17" s="6">
        <v>7087</v>
      </c>
      <c r="M17" s="6">
        <v>6482</v>
      </c>
      <c r="N17" s="6">
        <v>6354</v>
      </c>
    </row>
    <row r="18" spans="1:14" x14ac:dyDescent="0.25">
      <c r="A18" s="1"/>
      <c r="B18" s="5" t="s">
        <v>21</v>
      </c>
      <c r="C18" s="5" t="s">
        <v>17</v>
      </c>
      <c r="D18" s="6">
        <v>13163</v>
      </c>
      <c r="E18" s="6">
        <v>13258</v>
      </c>
      <c r="F18" s="6">
        <v>12250</v>
      </c>
      <c r="G18" s="6">
        <v>11475</v>
      </c>
      <c r="H18" s="6">
        <v>10793</v>
      </c>
      <c r="I18" s="6">
        <v>10449</v>
      </c>
      <c r="J18" s="6">
        <v>7710</v>
      </c>
      <c r="K18" s="6">
        <v>7255</v>
      </c>
      <c r="L18" s="6">
        <v>9741</v>
      </c>
      <c r="M18" s="6">
        <v>9627</v>
      </c>
      <c r="N18" s="6">
        <v>7683</v>
      </c>
    </row>
    <row r="19" spans="1:14" x14ac:dyDescent="0.25">
      <c r="A19" s="1"/>
      <c r="B19" s="5" t="s">
        <v>21</v>
      </c>
      <c r="C19" s="5" t="s">
        <v>18</v>
      </c>
      <c r="D19" s="6">
        <v>20090</v>
      </c>
      <c r="E19" s="6">
        <v>17777</v>
      </c>
      <c r="F19" s="6">
        <v>17276</v>
      </c>
      <c r="G19" s="6">
        <v>17326</v>
      </c>
      <c r="H19" s="6">
        <v>16369</v>
      </c>
      <c r="I19" s="6">
        <v>15741</v>
      </c>
      <c r="J19" s="6">
        <v>12802</v>
      </c>
      <c r="K19" s="6">
        <v>10900</v>
      </c>
      <c r="L19" s="6">
        <v>10918</v>
      </c>
      <c r="M19" s="6">
        <v>11357</v>
      </c>
      <c r="N19" s="6">
        <v>11462</v>
      </c>
    </row>
    <row r="20" spans="1:14" x14ac:dyDescent="0.25">
      <c r="A20" s="1"/>
      <c r="B20" s="5" t="s">
        <v>21</v>
      </c>
      <c r="C20" s="5" t="s">
        <v>19</v>
      </c>
      <c r="D20" s="6">
        <v>69719</v>
      </c>
      <c r="E20" s="6">
        <v>66543</v>
      </c>
      <c r="F20" s="6">
        <v>64152</v>
      </c>
      <c r="G20" s="6">
        <v>62279</v>
      </c>
      <c r="H20" s="6">
        <v>59907</v>
      </c>
      <c r="I20" s="6">
        <v>58623</v>
      </c>
      <c r="J20" s="6">
        <v>52664</v>
      </c>
      <c r="K20" s="6">
        <v>52168</v>
      </c>
      <c r="L20" s="6">
        <v>49353</v>
      </c>
      <c r="M20" s="6">
        <v>46347</v>
      </c>
      <c r="N20" s="6">
        <v>44777</v>
      </c>
    </row>
    <row r="21" spans="1:14" x14ac:dyDescent="0.25">
      <c r="A21" s="1"/>
      <c r="B21" s="5" t="s">
        <v>21</v>
      </c>
      <c r="C21" s="5" t="s">
        <v>20</v>
      </c>
      <c r="D21" s="6">
        <v>8930</v>
      </c>
      <c r="E21" s="6">
        <v>9154</v>
      </c>
      <c r="F21" s="6">
        <v>7632</v>
      </c>
      <c r="G21" s="6">
        <v>7549</v>
      </c>
      <c r="H21" s="6">
        <v>6980</v>
      </c>
      <c r="I21" s="6">
        <v>6814</v>
      </c>
      <c r="J21" s="6">
        <v>9024</v>
      </c>
      <c r="K21" s="6">
        <v>9852</v>
      </c>
      <c r="L21" s="6">
        <v>8155</v>
      </c>
      <c r="M21" s="6">
        <v>7115</v>
      </c>
      <c r="N21" s="6">
        <v>7250</v>
      </c>
    </row>
    <row r="22" spans="1:14" x14ac:dyDescent="0.25">
      <c r="A22" s="1" t="s">
        <v>23</v>
      </c>
      <c r="B22" s="5" t="s">
        <v>15</v>
      </c>
      <c r="C22" s="5" t="s">
        <v>16</v>
      </c>
      <c r="D22" s="6">
        <v>493</v>
      </c>
      <c r="E22" s="6">
        <v>597</v>
      </c>
      <c r="F22" s="6">
        <v>566</v>
      </c>
      <c r="G22" s="6">
        <v>921</v>
      </c>
      <c r="H22" s="6">
        <v>753</v>
      </c>
      <c r="I22" s="6">
        <v>1006</v>
      </c>
      <c r="J22" s="6">
        <v>1120</v>
      </c>
      <c r="K22" s="6">
        <v>1125</v>
      </c>
      <c r="L22" s="6">
        <v>934</v>
      </c>
      <c r="M22" s="6">
        <v>901</v>
      </c>
      <c r="N22" s="6">
        <v>987</v>
      </c>
    </row>
    <row r="23" spans="1:14" x14ac:dyDescent="0.25">
      <c r="A23" s="1"/>
      <c r="B23" s="5" t="s">
        <v>15</v>
      </c>
      <c r="C23" s="5" t="s">
        <v>17</v>
      </c>
      <c r="D23" s="6">
        <v>1224</v>
      </c>
      <c r="E23" s="6">
        <v>1989</v>
      </c>
      <c r="F23" s="6">
        <v>3288</v>
      </c>
      <c r="G23" s="6">
        <v>3605</v>
      </c>
      <c r="H23" s="6">
        <v>5009</v>
      </c>
      <c r="I23" s="6">
        <v>3899</v>
      </c>
      <c r="J23" s="6">
        <v>2761</v>
      </c>
      <c r="K23" s="6">
        <v>3293</v>
      </c>
      <c r="L23" s="6">
        <v>3287</v>
      </c>
      <c r="M23" s="6">
        <v>3244</v>
      </c>
      <c r="N23" s="6">
        <v>3839</v>
      </c>
    </row>
    <row r="24" spans="1:14" x14ac:dyDescent="0.25">
      <c r="A24" s="1"/>
      <c r="B24" s="5" t="s">
        <v>15</v>
      </c>
      <c r="C24" s="5" t="s">
        <v>18</v>
      </c>
      <c r="D24" s="6">
        <v>2679</v>
      </c>
      <c r="E24" s="6">
        <v>2614</v>
      </c>
      <c r="F24" s="6">
        <v>5298</v>
      </c>
      <c r="G24" s="6">
        <v>4740</v>
      </c>
      <c r="H24" s="6">
        <v>5497</v>
      </c>
      <c r="I24" s="6">
        <v>3511</v>
      </c>
      <c r="J24" s="6">
        <v>5037</v>
      </c>
      <c r="K24" s="6">
        <v>4365</v>
      </c>
      <c r="L24" s="6">
        <v>4128</v>
      </c>
      <c r="M24" s="6">
        <v>3906</v>
      </c>
      <c r="N24" s="6">
        <v>3830</v>
      </c>
    </row>
    <row r="25" spans="1:14" x14ac:dyDescent="0.25">
      <c r="A25" s="1"/>
      <c r="B25" s="5" t="s">
        <v>15</v>
      </c>
      <c r="C25" s="5" t="s">
        <v>19</v>
      </c>
      <c r="D25" s="6">
        <v>3466</v>
      </c>
      <c r="E25" s="6">
        <v>3922</v>
      </c>
      <c r="F25" s="6">
        <v>5565</v>
      </c>
      <c r="G25" s="6">
        <v>5826</v>
      </c>
      <c r="H25" s="6">
        <v>6475</v>
      </c>
      <c r="I25" s="6">
        <v>5368</v>
      </c>
      <c r="J25" s="6">
        <v>6761</v>
      </c>
      <c r="K25" s="6">
        <v>6491</v>
      </c>
      <c r="L25" s="6">
        <v>6151</v>
      </c>
      <c r="M25" s="6">
        <v>6037</v>
      </c>
      <c r="N25" s="6">
        <v>5849</v>
      </c>
    </row>
    <row r="26" spans="1:14" x14ac:dyDescent="0.25">
      <c r="A26" s="1"/>
      <c r="B26" s="5" t="s">
        <v>15</v>
      </c>
      <c r="C26" s="5" t="s">
        <v>20</v>
      </c>
      <c r="D26" s="6">
        <v>735</v>
      </c>
      <c r="E26" s="6">
        <v>604</v>
      </c>
      <c r="F26" s="6">
        <v>1230</v>
      </c>
      <c r="G26" s="6">
        <v>1709</v>
      </c>
      <c r="H26" s="6">
        <v>878</v>
      </c>
      <c r="I26" s="6">
        <v>1149</v>
      </c>
      <c r="J26" s="6">
        <v>1341</v>
      </c>
      <c r="K26" s="6">
        <v>1668</v>
      </c>
      <c r="L26" s="6">
        <v>1886</v>
      </c>
      <c r="M26" s="6">
        <v>1881</v>
      </c>
      <c r="N26" s="6">
        <v>1483</v>
      </c>
    </row>
    <row r="27" spans="1:14" x14ac:dyDescent="0.25">
      <c r="A27" s="1"/>
      <c r="B27" s="5" t="s">
        <v>21</v>
      </c>
      <c r="C27" s="5" t="s">
        <v>16</v>
      </c>
      <c r="D27" s="6">
        <v>1657</v>
      </c>
      <c r="E27" s="6">
        <v>1575</v>
      </c>
      <c r="F27" s="6">
        <v>1737</v>
      </c>
      <c r="G27" s="6">
        <v>1488</v>
      </c>
      <c r="H27" s="6">
        <v>1457</v>
      </c>
      <c r="I27" s="6">
        <v>1478</v>
      </c>
      <c r="J27" s="6">
        <v>913</v>
      </c>
      <c r="K27" s="6">
        <v>1177</v>
      </c>
      <c r="L27" s="6">
        <v>1198</v>
      </c>
      <c r="M27" s="6">
        <v>1378</v>
      </c>
      <c r="N27" s="6">
        <v>1218</v>
      </c>
    </row>
    <row r="28" spans="1:14" x14ac:dyDescent="0.25">
      <c r="A28" s="1"/>
      <c r="B28" s="5" t="s">
        <v>21</v>
      </c>
      <c r="C28" s="5" t="s">
        <v>17</v>
      </c>
      <c r="D28" s="6">
        <v>2465</v>
      </c>
      <c r="E28" s="6">
        <v>2564</v>
      </c>
      <c r="F28" s="6">
        <v>2586</v>
      </c>
      <c r="G28" s="6">
        <v>2501</v>
      </c>
      <c r="H28" s="6">
        <v>2463</v>
      </c>
      <c r="I28" s="6">
        <v>2439</v>
      </c>
      <c r="J28" s="6">
        <v>1908</v>
      </c>
      <c r="K28" s="6">
        <v>1870</v>
      </c>
      <c r="L28" s="6">
        <v>2713</v>
      </c>
      <c r="M28" s="6">
        <v>2590</v>
      </c>
      <c r="N28" s="6">
        <v>2412</v>
      </c>
    </row>
    <row r="29" spans="1:14" x14ac:dyDescent="0.25">
      <c r="A29" s="1"/>
      <c r="B29" s="5" t="s">
        <v>21</v>
      </c>
      <c r="C29" s="5" t="s">
        <v>18</v>
      </c>
      <c r="D29" s="6">
        <v>3088</v>
      </c>
      <c r="E29" s="6">
        <v>2832</v>
      </c>
      <c r="F29" s="6">
        <v>3082</v>
      </c>
      <c r="G29" s="6">
        <v>2822</v>
      </c>
      <c r="H29" s="6">
        <v>2875</v>
      </c>
      <c r="I29" s="6">
        <v>3205</v>
      </c>
      <c r="J29" s="6">
        <v>2808</v>
      </c>
      <c r="K29" s="6">
        <v>2644</v>
      </c>
      <c r="L29" s="6">
        <v>2220</v>
      </c>
      <c r="M29" s="6">
        <v>2366</v>
      </c>
      <c r="N29" s="6">
        <v>2438</v>
      </c>
    </row>
    <row r="30" spans="1:14" x14ac:dyDescent="0.25">
      <c r="A30" s="1"/>
      <c r="B30" s="5" t="s">
        <v>21</v>
      </c>
      <c r="C30" s="5" t="s">
        <v>19</v>
      </c>
      <c r="D30" s="6">
        <v>11687</v>
      </c>
      <c r="E30" s="6">
        <v>10968</v>
      </c>
      <c r="F30" s="6">
        <v>11208</v>
      </c>
      <c r="G30" s="6">
        <v>10810</v>
      </c>
      <c r="H30" s="6">
        <v>11070</v>
      </c>
      <c r="I30" s="6">
        <v>11873</v>
      </c>
      <c r="J30" s="6">
        <v>10950</v>
      </c>
      <c r="K30" s="6">
        <v>11024</v>
      </c>
      <c r="L30" s="6">
        <v>10777</v>
      </c>
      <c r="M30" s="6">
        <v>10412</v>
      </c>
      <c r="N30" s="6">
        <v>9986</v>
      </c>
    </row>
    <row r="31" spans="1:14" x14ac:dyDescent="0.25">
      <c r="A31" s="1"/>
      <c r="B31" s="5" t="s">
        <v>21</v>
      </c>
      <c r="C31" s="5" t="s">
        <v>20</v>
      </c>
      <c r="D31" s="6">
        <v>2021</v>
      </c>
      <c r="E31" s="6">
        <v>2234</v>
      </c>
      <c r="F31" s="6">
        <v>1926</v>
      </c>
      <c r="G31" s="6">
        <v>1777</v>
      </c>
      <c r="H31" s="6">
        <v>1577</v>
      </c>
      <c r="I31" s="6">
        <v>1548</v>
      </c>
      <c r="J31" s="6">
        <v>2368</v>
      </c>
      <c r="K31" s="6">
        <v>3021</v>
      </c>
      <c r="L31" s="6">
        <v>2560</v>
      </c>
      <c r="M31" s="6">
        <v>2307</v>
      </c>
      <c r="N31" s="6">
        <v>2366</v>
      </c>
    </row>
    <row r="32" spans="1:14" x14ac:dyDescent="0.25">
      <c r="A32" s="1" t="s">
        <v>24</v>
      </c>
      <c r="B32" s="5" t="s">
        <v>15</v>
      </c>
      <c r="C32" s="5" t="s">
        <v>16</v>
      </c>
      <c r="D32" s="6">
        <v>4</v>
      </c>
      <c r="E32" s="6">
        <v>42</v>
      </c>
      <c r="F32" s="6">
        <v>10</v>
      </c>
      <c r="G32" s="6">
        <v>64</v>
      </c>
      <c r="H32" s="6">
        <v>2124</v>
      </c>
      <c r="I32" s="6">
        <v>6832</v>
      </c>
      <c r="J32" s="6">
        <v>2090</v>
      </c>
      <c r="K32" s="6">
        <v>949</v>
      </c>
      <c r="L32" s="6">
        <v>1853</v>
      </c>
      <c r="M32" s="6">
        <v>1834</v>
      </c>
      <c r="N32" s="6">
        <v>1908</v>
      </c>
    </row>
    <row r="33" spans="1:14" x14ac:dyDescent="0.25">
      <c r="A33" s="1"/>
      <c r="B33" s="5" t="s">
        <v>15</v>
      </c>
      <c r="C33" s="5" t="s">
        <v>17</v>
      </c>
      <c r="D33" s="6">
        <v>27</v>
      </c>
      <c r="E33" s="6">
        <v>11</v>
      </c>
      <c r="F33" s="6">
        <v>179</v>
      </c>
      <c r="G33" s="6">
        <v>228</v>
      </c>
      <c r="H33" s="6">
        <v>1138</v>
      </c>
      <c r="I33" s="6">
        <v>2477</v>
      </c>
      <c r="J33" s="6">
        <v>2293</v>
      </c>
      <c r="K33" s="6">
        <v>2246</v>
      </c>
      <c r="L33" s="6">
        <v>4902</v>
      </c>
      <c r="M33" s="6">
        <v>5553</v>
      </c>
      <c r="N33" s="6">
        <v>8686</v>
      </c>
    </row>
    <row r="34" spans="1:14" x14ac:dyDescent="0.25">
      <c r="A34" s="1"/>
      <c r="B34" s="5" t="s">
        <v>15</v>
      </c>
      <c r="C34" s="5" t="s">
        <v>18</v>
      </c>
      <c r="D34" s="6">
        <v>102</v>
      </c>
      <c r="E34" s="6">
        <v>14</v>
      </c>
      <c r="F34" s="6">
        <v>792</v>
      </c>
      <c r="G34" s="6">
        <v>3090</v>
      </c>
      <c r="H34" s="6">
        <v>7694</v>
      </c>
      <c r="I34" s="6">
        <v>8859</v>
      </c>
      <c r="J34" s="6">
        <v>4619</v>
      </c>
      <c r="K34" s="6">
        <v>4469</v>
      </c>
      <c r="L34" s="6">
        <v>8041</v>
      </c>
      <c r="M34" s="6">
        <v>12616</v>
      </c>
      <c r="N34" s="6">
        <v>14228</v>
      </c>
    </row>
    <row r="35" spans="1:14" x14ac:dyDescent="0.25">
      <c r="A35" s="1"/>
      <c r="B35" s="5" t="s">
        <v>15</v>
      </c>
      <c r="C35" s="5" t="s">
        <v>19</v>
      </c>
      <c r="D35" s="6">
        <v>152</v>
      </c>
      <c r="E35" s="6">
        <v>152</v>
      </c>
      <c r="F35" s="6">
        <v>722</v>
      </c>
      <c r="G35" s="6">
        <v>3704</v>
      </c>
      <c r="H35" s="6">
        <v>9742</v>
      </c>
      <c r="I35" s="6">
        <v>13417</v>
      </c>
      <c r="J35" s="6">
        <v>8266</v>
      </c>
      <c r="K35" s="6">
        <v>7793</v>
      </c>
      <c r="L35" s="6">
        <v>9686</v>
      </c>
      <c r="M35" s="6">
        <v>14237</v>
      </c>
      <c r="N35" s="6">
        <v>17718</v>
      </c>
    </row>
    <row r="36" spans="1:14" x14ac:dyDescent="0.25">
      <c r="A36" s="1"/>
      <c r="B36" s="5" t="s">
        <v>15</v>
      </c>
      <c r="C36" s="5" t="s">
        <v>20</v>
      </c>
      <c r="D36" s="6">
        <v>1</v>
      </c>
      <c r="E36" s="6">
        <v>0</v>
      </c>
      <c r="F36" s="6">
        <v>2</v>
      </c>
      <c r="G36" s="6">
        <v>9</v>
      </c>
      <c r="H36" s="6">
        <v>189</v>
      </c>
      <c r="I36" s="6">
        <v>908</v>
      </c>
      <c r="J36" s="6">
        <v>1592</v>
      </c>
      <c r="K36" s="6">
        <v>2230</v>
      </c>
      <c r="L36" s="6">
        <v>2582</v>
      </c>
      <c r="M36" s="6">
        <v>3369</v>
      </c>
      <c r="N36" s="6">
        <v>4398</v>
      </c>
    </row>
    <row r="37" spans="1:14" x14ac:dyDescent="0.25">
      <c r="A37" s="1"/>
      <c r="B37" s="5" t="s">
        <v>21</v>
      </c>
      <c r="C37" s="5" t="s">
        <v>16</v>
      </c>
      <c r="D37" s="6">
        <v>272</v>
      </c>
      <c r="E37" s="6">
        <v>143</v>
      </c>
      <c r="F37" s="6">
        <v>115</v>
      </c>
      <c r="G37" s="6">
        <v>110</v>
      </c>
      <c r="H37" s="6">
        <v>66</v>
      </c>
      <c r="I37" s="6">
        <v>71</v>
      </c>
      <c r="J37" s="6">
        <v>14</v>
      </c>
      <c r="K37" s="6">
        <v>93</v>
      </c>
      <c r="L37" s="6">
        <v>65</v>
      </c>
      <c r="M37" s="6">
        <v>56</v>
      </c>
      <c r="N37" s="6">
        <v>115</v>
      </c>
    </row>
    <row r="38" spans="1:14" x14ac:dyDescent="0.25">
      <c r="A38" s="1"/>
      <c r="B38" s="5" t="s">
        <v>21</v>
      </c>
      <c r="C38" s="5" t="s">
        <v>17</v>
      </c>
      <c r="D38" s="6">
        <v>121</v>
      </c>
      <c r="E38" s="6">
        <v>102</v>
      </c>
      <c r="F38" s="6">
        <v>92</v>
      </c>
      <c r="G38" s="6">
        <v>113</v>
      </c>
      <c r="H38" s="6">
        <v>91</v>
      </c>
      <c r="I38" s="6">
        <v>79</v>
      </c>
      <c r="J38" s="6">
        <v>39</v>
      </c>
      <c r="K38" s="6">
        <v>91</v>
      </c>
      <c r="L38" s="6">
        <v>280</v>
      </c>
      <c r="M38" s="6">
        <v>196</v>
      </c>
      <c r="N38" s="6">
        <v>333</v>
      </c>
    </row>
    <row r="39" spans="1:14" x14ac:dyDescent="0.25">
      <c r="A39" s="1"/>
      <c r="B39" s="5" t="s">
        <v>21</v>
      </c>
      <c r="C39" s="5" t="s">
        <v>18</v>
      </c>
      <c r="D39" s="6">
        <v>128</v>
      </c>
      <c r="E39" s="6">
        <v>156</v>
      </c>
      <c r="F39" s="6">
        <v>184</v>
      </c>
      <c r="G39" s="6">
        <v>146</v>
      </c>
      <c r="H39" s="6">
        <v>164</v>
      </c>
      <c r="I39" s="6">
        <v>162</v>
      </c>
      <c r="J39" s="6">
        <v>155</v>
      </c>
      <c r="K39" s="6">
        <v>428</v>
      </c>
      <c r="L39" s="6">
        <v>306</v>
      </c>
      <c r="M39" s="6">
        <v>448</v>
      </c>
      <c r="N39" s="6">
        <v>1737</v>
      </c>
    </row>
    <row r="40" spans="1:14" x14ac:dyDescent="0.25">
      <c r="A40" s="1"/>
      <c r="B40" s="5" t="s">
        <v>21</v>
      </c>
      <c r="C40" s="5" t="s">
        <v>19</v>
      </c>
      <c r="D40" s="6">
        <v>842</v>
      </c>
      <c r="E40" s="6">
        <v>624</v>
      </c>
      <c r="F40" s="6">
        <v>571</v>
      </c>
      <c r="G40" s="6">
        <v>500</v>
      </c>
      <c r="H40" s="6">
        <v>471</v>
      </c>
      <c r="I40" s="6">
        <v>470</v>
      </c>
      <c r="J40" s="6">
        <v>520</v>
      </c>
      <c r="K40" s="6">
        <v>816</v>
      </c>
      <c r="L40" s="6">
        <v>748</v>
      </c>
      <c r="M40" s="6">
        <v>995</v>
      </c>
      <c r="N40" s="6">
        <v>2643</v>
      </c>
    </row>
    <row r="41" spans="1:14" x14ac:dyDescent="0.25">
      <c r="A41" s="1"/>
      <c r="B41" s="5" t="s">
        <v>21</v>
      </c>
      <c r="C41" s="5" t="s">
        <v>20</v>
      </c>
      <c r="D41" s="6">
        <v>35</v>
      </c>
      <c r="E41" s="6">
        <v>37</v>
      </c>
      <c r="F41" s="6">
        <v>40</v>
      </c>
      <c r="G41" s="6">
        <v>29</v>
      </c>
      <c r="H41" s="6">
        <v>21</v>
      </c>
      <c r="I41" s="6">
        <v>40</v>
      </c>
      <c r="J41" s="6">
        <v>34</v>
      </c>
      <c r="K41" s="6">
        <v>60</v>
      </c>
      <c r="L41" s="6">
        <v>61</v>
      </c>
      <c r="M41" s="6">
        <v>45</v>
      </c>
      <c r="N41" s="6">
        <v>268</v>
      </c>
    </row>
    <row r="42" spans="1:14" x14ac:dyDescent="0.25">
      <c r="A42" s="1" t="s">
        <v>25</v>
      </c>
      <c r="B42" s="5" t="s">
        <v>15</v>
      </c>
      <c r="C42" s="5" t="s">
        <v>16</v>
      </c>
      <c r="D42" s="6">
        <v>973</v>
      </c>
      <c r="E42" s="6">
        <v>926</v>
      </c>
      <c r="F42" s="6">
        <v>1217</v>
      </c>
      <c r="G42" s="6">
        <v>12499</v>
      </c>
      <c r="H42" s="6">
        <v>12455</v>
      </c>
      <c r="I42" s="6">
        <v>13752</v>
      </c>
      <c r="J42" s="6">
        <v>7823</v>
      </c>
      <c r="K42" s="6">
        <v>11935</v>
      </c>
      <c r="L42" s="6">
        <v>9690</v>
      </c>
      <c r="M42" s="6">
        <v>9345</v>
      </c>
      <c r="N42" s="6">
        <v>7371</v>
      </c>
    </row>
    <row r="43" spans="1:14" x14ac:dyDescent="0.25">
      <c r="A43" s="1"/>
      <c r="B43" s="5" t="s">
        <v>15</v>
      </c>
      <c r="C43" s="5" t="s">
        <v>17</v>
      </c>
      <c r="D43" s="6">
        <v>9063</v>
      </c>
      <c r="E43" s="6">
        <v>12359</v>
      </c>
      <c r="F43" s="6">
        <v>22995</v>
      </c>
      <c r="G43" s="6">
        <v>30064</v>
      </c>
      <c r="H43" s="6">
        <v>34460</v>
      </c>
      <c r="I43" s="6">
        <v>26676</v>
      </c>
      <c r="J43" s="6">
        <v>26029</v>
      </c>
      <c r="K43" s="6">
        <v>31461</v>
      </c>
      <c r="L43" s="6">
        <v>33848</v>
      </c>
      <c r="M43" s="6">
        <v>36426</v>
      </c>
      <c r="N43" s="6">
        <v>45257</v>
      </c>
    </row>
    <row r="44" spans="1:14" x14ac:dyDescent="0.25">
      <c r="A44" s="1"/>
      <c r="B44" s="5" t="s">
        <v>15</v>
      </c>
      <c r="C44" s="5" t="s">
        <v>18</v>
      </c>
      <c r="D44" s="6">
        <v>29978</v>
      </c>
      <c r="E44" s="6">
        <v>28644</v>
      </c>
      <c r="F44" s="6">
        <v>46316</v>
      </c>
      <c r="G44" s="6">
        <v>37275</v>
      </c>
      <c r="H44" s="6">
        <v>40700</v>
      </c>
      <c r="I44" s="6">
        <v>36737</v>
      </c>
      <c r="J44" s="6">
        <v>37269</v>
      </c>
      <c r="K44" s="6">
        <v>35430</v>
      </c>
      <c r="L44" s="6">
        <v>47093</v>
      </c>
      <c r="M44" s="6">
        <v>53309</v>
      </c>
      <c r="N44" s="6">
        <v>55235</v>
      </c>
    </row>
    <row r="45" spans="1:14" x14ac:dyDescent="0.25">
      <c r="A45" s="1"/>
      <c r="B45" s="5" t="s">
        <v>15</v>
      </c>
      <c r="C45" s="5" t="s">
        <v>19</v>
      </c>
      <c r="D45" s="6">
        <v>25251</v>
      </c>
      <c r="E45" s="6">
        <v>41416</v>
      </c>
      <c r="F45" s="6">
        <v>65020</v>
      </c>
      <c r="G45" s="6">
        <v>74498</v>
      </c>
      <c r="H45" s="6">
        <v>72190</v>
      </c>
      <c r="I45" s="6">
        <v>71471</v>
      </c>
      <c r="J45" s="6">
        <v>69289</v>
      </c>
      <c r="K45" s="6">
        <v>68464</v>
      </c>
      <c r="L45" s="6">
        <v>70504</v>
      </c>
      <c r="M45" s="6">
        <v>79256</v>
      </c>
      <c r="N45" s="6">
        <v>83425</v>
      </c>
    </row>
    <row r="46" spans="1:14" x14ac:dyDescent="0.25">
      <c r="A46" s="1"/>
      <c r="B46" s="5" t="s">
        <v>15</v>
      </c>
      <c r="C46" s="5" t="s">
        <v>20</v>
      </c>
      <c r="D46" s="6">
        <v>892</v>
      </c>
      <c r="E46" s="6">
        <v>1303</v>
      </c>
      <c r="F46" s="6">
        <v>4523</v>
      </c>
      <c r="G46" s="6">
        <v>3620</v>
      </c>
      <c r="H46" s="6">
        <v>3572</v>
      </c>
      <c r="I46" s="6">
        <v>6589</v>
      </c>
      <c r="J46" s="6">
        <v>9849</v>
      </c>
      <c r="K46" s="6">
        <v>9297</v>
      </c>
      <c r="L46" s="6">
        <v>11980</v>
      </c>
      <c r="M46" s="6">
        <v>14658</v>
      </c>
      <c r="N46" s="6">
        <v>15210</v>
      </c>
    </row>
    <row r="47" spans="1:14" x14ac:dyDescent="0.25">
      <c r="A47" s="1"/>
      <c r="B47" s="5" t="s">
        <v>21</v>
      </c>
      <c r="C47" s="5" t="s">
        <v>16</v>
      </c>
      <c r="D47" s="6">
        <v>18347</v>
      </c>
      <c r="E47" s="6">
        <v>21013</v>
      </c>
      <c r="F47" s="6">
        <v>21116</v>
      </c>
      <c r="G47" s="6">
        <v>21835</v>
      </c>
      <c r="H47" s="6">
        <v>20379</v>
      </c>
      <c r="I47" s="6">
        <v>16212</v>
      </c>
      <c r="J47" s="6">
        <v>11888</v>
      </c>
      <c r="K47" s="6">
        <v>10187</v>
      </c>
      <c r="L47" s="6">
        <v>8412</v>
      </c>
      <c r="M47" s="6">
        <v>6912</v>
      </c>
      <c r="N47" s="6">
        <v>5208</v>
      </c>
    </row>
    <row r="48" spans="1:14" x14ac:dyDescent="0.25">
      <c r="A48" s="1"/>
      <c r="B48" s="5" t="s">
        <v>21</v>
      </c>
      <c r="C48" s="5" t="s">
        <v>17</v>
      </c>
      <c r="D48" s="6">
        <v>26811</v>
      </c>
      <c r="E48" s="6">
        <v>29224</v>
      </c>
      <c r="F48" s="6">
        <v>33172</v>
      </c>
      <c r="G48" s="6">
        <v>28008</v>
      </c>
      <c r="H48" s="6">
        <v>26845</v>
      </c>
      <c r="I48" s="6">
        <v>25854</v>
      </c>
      <c r="J48" s="6">
        <v>18472</v>
      </c>
      <c r="K48" s="6">
        <v>14499</v>
      </c>
      <c r="L48" s="6">
        <v>12758</v>
      </c>
      <c r="M48" s="6">
        <v>10483</v>
      </c>
      <c r="N48" s="6">
        <v>8824</v>
      </c>
    </row>
    <row r="49" spans="1:14" x14ac:dyDescent="0.25">
      <c r="A49" s="1"/>
      <c r="B49" s="5" t="s">
        <v>21</v>
      </c>
      <c r="C49" s="5" t="s">
        <v>18</v>
      </c>
      <c r="D49" s="6">
        <v>49439</v>
      </c>
      <c r="E49" s="6">
        <v>45888</v>
      </c>
      <c r="F49" s="6">
        <v>43144</v>
      </c>
      <c r="G49" s="6">
        <v>34768</v>
      </c>
      <c r="H49" s="6">
        <v>28700</v>
      </c>
      <c r="I49" s="6">
        <v>25578</v>
      </c>
      <c r="J49" s="6">
        <v>17621</v>
      </c>
      <c r="K49" s="6">
        <v>11847</v>
      </c>
      <c r="L49" s="6">
        <v>10790</v>
      </c>
      <c r="M49" s="6">
        <v>10792</v>
      </c>
      <c r="N49" s="6">
        <v>9237</v>
      </c>
    </row>
    <row r="50" spans="1:14" x14ac:dyDescent="0.25">
      <c r="A50" s="1"/>
      <c r="B50" s="5" t="s">
        <v>21</v>
      </c>
      <c r="C50" s="5" t="s">
        <v>19</v>
      </c>
      <c r="D50" s="6">
        <v>123779</v>
      </c>
      <c r="E50" s="6">
        <v>126272</v>
      </c>
      <c r="F50" s="6">
        <v>120553</v>
      </c>
      <c r="G50" s="6">
        <v>111313</v>
      </c>
      <c r="H50" s="6">
        <v>95963</v>
      </c>
      <c r="I50" s="6">
        <v>82056</v>
      </c>
      <c r="J50" s="6">
        <v>62901</v>
      </c>
      <c r="K50" s="6">
        <v>53825</v>
      </c>
      <c r="L50" s="6">
        <v>44717</v>
      </c>
      <c r="M50" s="6">
        <v>39070</v>
      </c>
      <c r="N50" s="6">
        <v>35577</v>
      </c>
    </row>
    <row r="51" spans="1:14" x14ac:dyDescent="0.25">
      <c r="A51" s="1"/>
      <c r="B51" s="5" t="s">
        <v>21</v>
      </c>
      <c r="C51" s="5" t="s">
        <v>20</v>
      </c>
      <c r="D51" s="6">
        <v>20706</v>
      </c>
      <c r="E51" s="6">
        <v>21443</v>
      </c>
      <c r="F51" s="6">
        <v>19745</v>
      </c>
      <c r="G51" s="6">
        <v>18920</v>
      </c>
      <c r="H51" s="6">
        <v>17875</v>
      </c>
      <c r="I51" s="6">
        <v>14116</v>
      </c>
      <c r="J51" s="6">
        <v>14583</v>
      </c>
      <c r="K51" s="6">
        <v>12185</v>
      </c>
      <c r="L51" s="6">
        <v>9500</v>
      </c>
      <c r="M51" s="6">
        <v>7917</v>
      </c>
      <c r="N51" s="6">
        <v>6970</v>
      </c>
    </row>
    <row r="52" spans="1:14" x14ac:dyDescent="0.25">
      <c r="A52" s="1" t="s">
        <v>26</v>
      </c>
      <c r="B52" s="5" t="s">
        <v>15</v>
      </c>
      <c r="C52" s="5" t="s">
        <v>16</v>
      </c>
      <c r="D52" s="6">
        <v>1910</v>
      </c>
      <c r="E52" s="6">
        <v>1623</v>
      </c>
      <c r="F52" s="6">
        <v>2712</v>
      </c>
      <c r="G52" s="6">
        <v>2360</v>
      </c>
      <c r="H52" s="6">
        <v>3768</v>
      </c>
      <c r="I52" s="6">
        <v>4344</v>
      </c>
      <c r="J52" s="6">
        <v>4378</v>
      </c>
      <c r="K52" s="6">
        <v>5179</v>
      </c>
      <c r="L52" s="6">
        <v>3357</v>
      </c>
      <c r="M52" s="6">
        <v>3611</v>
      </c>
      <c r="N52" s="6">
        <v>3551</v>
      </c>
    </row>
    <row r="53" spans="1:14" x14ac:dyDescent="0.25">
      <c r="A53" s="1"/>
      <c r="B53" s="5" t="s">
        <v>15</v>
      </c>
      <c r="C53" s="5" t="s">
        <v>17</v>
      </c>
      <c r="D53" s="6">
        <v>3999</v>
      </c>
      <c r="E53" s="6">
        <v>5098</v>
      </c>
      <c r="F53" s="6">
        <v>7864</v>
      </c>
      <c r="G53" s="6">
        <v>7782</v>
      </c>
      <c r="H53" s="6">
        <v>9110</v>
      </c>
      <c r="I53" s="6">
        <v>7823</v>
      </c>
      <c r="J53" s="6">
        <v>6187</v>
      </c>
      <c r="K53" s="6">
        <v>6490</v>
      </c>
      <c r="L53" s="6">
        <v>9267</v>
      </c>
      <c r="M53" s="6">
        <v>12001</v>
      </c>
      <c r="N53" s="6">
        <v>10808</v>
      </c>
    </row>
    <row r="54" spans="1:14" x14ac:dyDescent="0.25">
      <c r="A54" s="1"/>
      <c r="B54" s="5" t="s">
        <v>15</v>
      </c>
      <c r="C54" s="5" t="s">
        <v>18</v>
      </c>
      <c r="D54" s="6">
        <v>8200</v>
      </c>
      <c r="E54" s="6">
        <v>8968</v>
      </c>
      <c r="F54" s="6">
        <v>13318</v>
      </c>
      <c r="G54" s="6">
        <v>11863</v>
      </c>
      <c r="H54" s="6">
        <v>11877</v>
      </c>
      <c r="I54" s="6">
        <v>11258</v>
      </c>
      <c r="J54" s="6">
        <v>12588</v>
      </c>
      <c r="K54" s="6">
        <v>10428</v>
      </c>
      <c r="L54" s="6">
        <v>13406</v>
      </c>
      <c r="M54" s="6">
        <v>13629</v>
      </c>
      <c r="N54" s="6">
        <v>11452</v>
      </c>
    </row>
    <row r="55" spans="1:14" x14ac:dyDescent="0.25">
      <c r="A55" s="1"/>
      <c r="B55" s="5" t="s">
        <v>15</v>
      </c>
      <c r="C55" s="5" t="s">
        <v>19</v>
      </c>
      <c r="D55" s="6">
        <v>13967</v>
      </c>
      <c r="E55" s="6">
        <v>16103</v>
      </c>
      <c r="F55" s="6">
        <v>19836</v>
      </c>
      <c r="G55" s="6">
        <v>22609</v>
      </c>
      <c r="H55" s="6">
        <v>23693</v>
      </c>
      <c r="I55" s="6">
        <v>23033</v>
      </c>
      <c r="J55" s="6">
        <v>24610</v>
      </c>
      <c r="K55" s="6">
        <v>23653</v>
      </c>
      <c r="L55" s="6">
        <v>23245</v>
      </c>
      <c r="M55" s="6">
        <v>23204</v>
      </c>
      <c r="N55" s="6">
        <v>21967</v>
      </c>
    </row>
    <row r="56" spans="1:14" x14ac:dyDescent="0.25">
      <c r="A56" s="1"/>
      <c r="B56" s="5" t="s">
        <v>15</v>
      </c>
      <c r="C56" s="5" t="s">
        <v>20</v>
      </c>
      <c r="D56" s="6">
        <v>1089</v>
      </c>
      <c r="E56" s="6">
        <v>1404</v>
      </c>
      <c r="F56" s="6">
        <v>2501</v>
      </c>
      <c r="G56" s="6">
        <v>3327</v>
      </c>
      <c r="H56" s="6">
        <v>3491</v>
      </c>
      <c r="I56" s="6">
        <v>4520</v>
      </c>
      <c r="J56" s="6">
        <v>5838</v>
      </c>
      <c r="K56" s="6">
        <v>7078</v>
      </c>
      <c r="L56" s="6">
        <v>6948</v>
      </c>
      <c r="M56" s="6">
        <v>6375</v>
      </c>
      <c r="N56" s="6">
        <v>6050</v>
      </c>
    </row>
    <row r="57" spans="1:14" x14ac:dyDescent="0.25">
      <c r="A57" s="1"/>
      <c r="B57" s="5" t="s">
        <v>21</v>
      </c>
      <c r="C57" s="5" t="s">
        <v>16</v>
      </c>
      <c r="D57" s="6">
        <v>5623</v>
      </c>
      <c r="E57" s="6">
        <v>5720</v>
      </c>
      <c r="F57" s="6">
        <v>5095</v>
      </c>
      <c r="G57" s="6">
        <v>5003</v>
      </c>
      <c r="H57" s="6">
        <v>4561</v>
      </c>
      <c r="I57" s="6">
        <v>4428</v>
      </c>
      <c r="J57" s="6">
        <v>2958</v>
      </c>
      <c r="K57" s="6">
        <v>3119</v>
      </c>
      <c r="L57" s="6">
        <v>3391</v>
      </c>
      <c r="M57" s="6">
        <v>3526</v>
      </c>
      <c r="N57" s="6">
        <v>3637</v>
      </c>
    </row>
    <row r="58" spans="1:14" x14ac:dyDescent="0.25">
      <c r="A58" s="1"/>
      <c r="B58" s="5" t="s">
        <v>21</v>
      </c>
      <c r="C58" s="5" t="s">
        <v>17</v>
      </c>
      <c r="D58" s="6">
        <v>5988</v>
      </c>
      <c r="E58" s="6">
        <v>5965</v>
      </c>
      <c r="F58" s="6">
        <v>6129</v>
      </c>
      <c r="G58" s="6">
        <v>5927</v>
      </c>
      <c r="H58" s="6">
        <v>5671</v>
      </c>
      <c r="I58" s="6">
        <v>5673</v>
      </c>
      <c r="J58" s="6">
        <v>3720</v>
      </c>
      <c r="K58" s="6">
        <v>4345</v>
      </c>
      <c r="L58" s="6">
        <v>5878</v>
      </c>
      <c r="M58" s="6">
        <v>5314</v>
      </c>
      <c r="N58" s="6">
        <v>4384</v>
      </c>
    </row>
    <row r="59" spans="1:14" x14ac:dyDescent="0.25">
      <c r="A59" s="1"/>
      <c r="B59" s="5" t="s">
        <v>21</v>
      </c>
      <c r="C59" s="5" t="s">
        <v>18</v>
      </c>
      <c r="D59" s="6">
        <v>8785</v>
      </c>
      <c r="E59" s="6">
        <v>9026</v>
      </c>
      <c r="F59" s="6">
        <v>8346</v>
      </c>
      <c r="G59" s="6">
        <v>8208</v>
      </c>
      <c r="H59" s="6">
        <v>8371</v>
      </c>
      <c r="I59" s="6">
        <v>8424</v>
      </c>
      <c r="J59" s="6">
        <v>6962</v>
      </c>
      <c r="K59" s="6">
        <v>5909</v>
      </c>
      <c r="L59" s="6">
        <v>5750</v>
      </c>
      <c r="M59" s="6">
        <v>6274</v>
      </c>
      <c r="N59" s="6">
        <v>6062</v>
      </c>
    </row>
    <row r="60" spans="1:14" x14ac:dyDescent="0.25">
      <c r="A60" s="1"/>
      <c r="B60" s="5" t="s">
        <v>21</v>
      </c>
      <c r="C60" s="5" t="s">
        <v>19</v>
      </c>
      <c r="D60" s="6">
        <v>36576</v>
      </c>
      <c r="E60" s="6">
        <v>35222</v>
      </c>
      <c r="F60" s="6">
        <v>33840</v>
      </c>
      <c r="G60" s="6">
        <v>32710</v>
      </c>
      <c r="H60" s="6">
        <v>32261</v>
      </c>
      <c r="I60" s="6">
        <v>32104</v>
      </c>
      <c r="J60" s="6">
        <v>28900</v>
      </c>
      <c r="K60" s="6">
        <v>28894</v>
      </c>
      <c r="L60" s="6">
        <v>27823</v>
      </c>
      <c r="M60" s="6">
        <v>26812</v>
      </c>
      <c r="N60" s="6">
        <v>25336</v>
      </c>
    </row>
    <row r="61" spans="1:14" x14ac:dyDescent="0.25">
      <c r="A61" s="1"/>
      <c r="B61" s="5" t="s">
        <v>21</v>
      </c>
      <c r="C61" s="5" t="s">
        <v>20</v>
      </c>
      <c r="D61" s="6">
        <v>3596</v>
      </c>
      <c r="E61" s="6">
        <v>4020</v>
      </c>
      <c r="F61" s="6">
        <v>3371</v>
      </c>
      <c r="G61" s="6">
        <v>3331</v>
      </c>
      <c r="H61" s="6">
        <v>2811</v>
      </c>
      <c r="I61" s="6">
        <v>2821</v>
      </c>
      <c r="J61" s="6">
        <v>5288</v>
      </c>
      <c r="K61" s="6">
        <v>5277</v>
      </c>
      <c r="L61" s="6">
        <v>4155</v>
      </c>
      <c r="M61" s="6">
        <v>3594</v>
      </c>
      <c r="N61" s="6">
        <v>4043</v>
      </c>
    </row>
    <row r="62" spans="1:14" x14ac:dyDescent="0.25">
      <c r="A62" s="1" t="s">
        <v>27</v>
      </c>
      <c r="B62" s="5" t="s">
        <v>15</v>
      </c>
      <c r="C62" s="5" t="s">
        <v>16</v>
      </c>
      <c r="D62" s="6">
        <v>4322</v>
      </c>
      <c r="E62" s="6">
        <v>4614</v>
      </c>
      <c r="F62" s="6">
        <v>4213</v>
      </c>
      <c r="G62" s="6">
        <v>4509</v>
      </c>
      <c r="H62" s="6">
        <v>4815</v>
      </c>
      <c r="I62" s="6">
        <v>5909</v>
      </c>
      <c r="J62" s="6">
        <v>6849</v>
      </c>
      <c r="K62" s="6">
        <v>8183</v>
      </c>
      <c r="L62" s="6">
        <v>6157</v>
      </c>
      <c r="M62" s="6">
        <v>6667</v>
      </c>
      <c r="N62" s="6">
        <v>7133</v>
      </c>
    </row>
    <row r="63" spans="1:14" x14ac:dyDescent="0.25">
      <c r="A63" s="1"/>
      <c r="B63" s="5" t="s">
        <v>15</v>
      </c>
      <c r="C63" s="5" t="s">
        <v>17</v>
      </c>
      <c r="D63" s="6">
        <v>9717</v>
      </c>
      <c r="E63" s="6">
        <v>11813</v>
      </c>
      <c r="F63" s="6">
        <v>13880</v>
      </c>
      <c r="G63" s="6">
        <v>14805</v>
      </c>
      <c r="H63" s="6">
        <v>20663</v>
      </c>
      <c r="I63" s="6">
        <v>18367</v>
      </c>
      <c r="J63" s="6">
        <v>16374</v>
      </c>
      <c r="K63" s="6">
        <v>19658</v>
      </c>
      <c r="L63" s="6">
        <v>26202</v>
      </c>
      <c r="M63" s="6">
        <v>26085</v>
      </c>
      <c r="N63" s="6">
        <v>29760</v>
      </c>
    </row>
    <row r="64" spans="1:14" x14ac:dyDescent="0.25">
      <c r="A64" s="1"/>
      <c r="B64" s="5" t="s">
        <v>15</v>
      </c>
      <c r="C64" s="5" t="s">
        <v>18</v>
      </c>
      <c r="D64" s="6">
        <v>17561</v>
      </c>
      <c r="E64" s="6">
        <v>17798</v>
      </c>
      <c r="F64" s="6">
        <v>19992</v>
      </c>
      <c r="G64" s="6">
        <v>23748</v>
      </c>
      <c r="H64" s="6">
        <v>25335</v>
      </c>
      <c r="I64" s="6">
        <v>24869</v>
      </c>
      <c r="J64" s="6">
        <v>31668</v>
      </c>
      <c r="K64" s="6">
        <v>29987</v>
      </c>
      <c r="L64" s="6">
        <v>34601</v>
      </c>
      <c r="M64" s="6">
        <v>34488</v>
      </c>
      <c r="N64" s="6">
        <v>30726</v>
      </c>
    </row>
    <row r="65" spans="1:14" x14ac:dyDescent="0.25">
      <c r="A65" s="1"/>
      <c r="B65" s="5" t="s">
        <v>15</v>
      </c>
      <c r="C65" s="5" t="s">
        <v>19</v>
      </c>
      <c r="D65" s="6">
        <v>29885</v>
      </c>
      <c r="E65" s="6">
        <v>31547</v>
      </c>
      <c r="F65" s="6">
        <v>33192</v>
      </c>
      <c r="G65" s="6">
        <v>38129</v>
      </c>
      <c r="H65" s="6">
        <v>39692</v>
      </c>
      <c r="I65" s="6">
        <v>41074</v>
      </c>
      <c r="J65" s="6">
        <v>49650</v>
      </c>
      <c r="K65" s="6">
        <v>52007</v>
      </c>
      <c r="L65" s="6">
        <v>53121</v>
      </c>
      <c r="M65" s="6">
        <v>55794</v>
      </c>
      <c r="N65" s="6">
        <v>53780</v>
      </c>
    </row>
    <row r="66" spans="1:14" x14ac:dyDescent="0.25">
      <c r="A66" s="1"/>
      <c r="B66" s="5" t="s">
        <v>15</v>
      </c>
      <c r="C66" s="5" t="s">
        <v>20</v>
      </c>
      <c r="D66" s="6">
        <v>3927</v>
      </c>
      <c r="E66" s="6">
        <v>5609</v>
      </c>
      <c r="F66" s="6">
        <v>7682</v>
      </c>
      <c r="G66" s="6">
        <v>8843</v>
      </c>
      <c r="H66" s="6">
        <v>8696</v>
      </c>
      <c r="I66" s="6">
        <v>10374</v>
      </c>
      <c r="J66" s="6">
        <v>13129</v>
      </c>
      <c r="K66" s="6">
        <v>15862</v>
      </c>
      <c r="L66" s="6">
        <v>16439</v>
      </c>
      <c r="M66" s="6">
        <v>17864</v>
      </c>
      <c r="N66" s="6">
        <v>16076</v>
      </c>
    </row>
    <row r="67" spans="1:14" x14ac:dyDescent="0.25">
      <c r="A67" s="1"/>
      <c r="B67" s="5" t="s">
        <v>21</v>
      </c>
      <c r="C67" s="5" t="s">
        <v>16</v>
      </c>
      <c r="D67" s="6">
        <v>8350</v>
      </c>
      <c r="E67" s="6">
        <v>9082</v>
      </c>
      <c r="F67" s="6">
        <v>8819</v>
      </c>
      <c r="G67" s="6">
        <v>8585</v>
      </c>
      <c r="H67" s="6">
        <v>7421</v>
      </c>
      <c r="I67" s="6">
        <v>7135</v>
      </c>
      <c r="J67" s="6">
        <v>5204</v>
      </c>
      <c r="K67" s="6">
        <v>5101</v>
      </c>
      <c r="L67" s="6">
        <v>5348</v>
      </c>
      <c r="M67" s="6">
        <v>5555</v>
      </c>
      <c r="N67" s="6">
        <v>5428</v>
      </c>
    </row>
    <row r="68" spans="1:14" x14ac:dyDescent="0.25">
      <c r="A68" s="1"/>
      <c r="B68" s="5" t="s">
        <v>21</v>
      </c>
      <c r="C68" s="5" t="s">
        <v>17</v>
      </c>
      <c r="D68" s="6">
        <v>10629</v>
      </c>
      <c r="E68" s="6">
        <v>11886</v>
      </c>
      <c r="F68" s="6">
        <v>11322</v>
      </c>
      <c r="G68" s="6">
        <v>10675</v>
      </c>
      <c r="H68" s="6">
        <v>10113</v>
      </c>
      <c r="I68" s="6">
        <v>10230</v>
      </c>
      <c r="J68" s="6">
        <v>7584</v>
      </c>
      <c r="K68" s="6">
        <v>6919</v>
      </c>
      <c r="L68" s="6">
        <v>7511</v>
      </c>
      <c r="M68" s="6">
        <v>7484</v>
      </c>
      <c r="N68" s="6">
        <v>6892</v>
      </c>
    </row>
    <row r="69" spans="1:14" x14ac:dyDescent="0.25">
      <c r="A69" s="1"/>
      <c r="B69" s="5" t="s">
        <v>21</v>
      </c>
      <c r="C69" s="5" t="s">
        <v>18</v>
      </c>
      <c r="D69" s="6">
        <v>17208</v>
      </c>
      <c r="E69" s="6">
        <v>16587</v>
      </c>
      <c r="F69" s="6">
        <v>15904</v>
      </c>
      <c r="G69" s="6">
        <v>14903</v>
      </c>
      <c r="H69" s="6">
        <v>14025</v>
      </c>
      <c r="I69" s="6">
        <v>14024</v>
      </c>
      <c r="J69" s="6">
        <v>11234</v>
      </c>
      <c r="K69" s="6">
        <v>9290</v>
      </c>
      <c r="L69" s="6">
        <v>9219</v>
      </c>
      <c r="M69" s="6">
        <v>9750</v>
      </c>
      <c r="N69" s="6">
        <v>9892</v>
      </c>
    </row>
    <row r="70" spans="1:14" x14ac:dyDescent="0.25">
      <c r="A70" s="1"/>
      <c r="B70" s="5" t="s">
        <v>21</v>
      </c>
      <c r="C70" s="5" t="s">
        <v>19</v>
      </c>
      <c r="D70" s="6">
        <v>57468</v>
      </c>
      <c r="E70" s="6">
        <v>56182</v>
      </c>
      <c r="F70" s="6">
        <v>54665</v>
      </c>
      <c r="G70" s="6">
        <v>52074</v>
      </c>
      <c r="H70" s="6">
        <v>49758</v>
      </c>
      <c r="I70" s="6">
        <v>48655</v>
      </c>
      <c r="J70" s="6">
        <v>43111</v>
      </c>
      <c r="K70" s="6">
        <v>41866</v>
      </c>
      <c r="L70" s="6">
        <v>41023</v>
      </c>
      <c r="M70" s="6">
        <v>39865</v>
      </c>
      <c r="N70" s="6">
        <v>38310</v>
      </c>
    </row>
    <row r="71" spans="1:14" x14ac:dyDescent="0.25">
      <c r="A71" s="1"/>
      <c r="B71" s="5" t="s">
        <v>21</v>
      </c>
      <c r="C71" s="5" t="s">
        <v>20</v>
      </c>
      <c r="D71" s="6">
        <v>8714</v>
      </c>
      <c r="E71" s="6">
        <v>8889</v>
      </c>
      <c r="F71" s="6">
        <v>8637</v>
      </c>
      <c r="G71" s="6">
        <v>8481</v>
      </c>
      <c r="H71" s="6">
        <v>7838</v>
      </c>
      <c r="I71" s="6">
        <v>7208</v>
      </c>
      <c r="J71" s="6">
        <v>9562</v>
      </c>
      <c r="K71" s="6">
        <v>9658</v>
      </c>
      <c r="L71" s="6">
        <v>8166</v>
      </c>
      <c r="M71" s="6">
        <v>7359</v>
      </c>
      <c r="N71" s="6">
        <v>7483</v>
      </c>
    </row>
    <row r="72" spans="1:14" x14ac:dyDescent="0.25">
      <c r="A72" s="1" t="s">
        <v>28</v>
      </c>
      <c r="B72" s="5" t="s">
        <v>15</v>
      </c>
      <c r="C72" s="5" t="s">
        <v>16</v>
      </c>
      <c r="D72" s="6">
        <v>2596</v>
      </c>
      <c r="E72" s="6">
        <v>3334</v>
      </c>
      <c r="F72" s="6">
        <v>3852</v>
      </c>
      <c r="G72" s="6">
        <v>4210</v>
      </c>
      <c r="H72" s="6">
        <v>3978</v>
      </c>
      <c r="I72" s="6">
        <v>3935</v>
      </c>
      <c r="J72" s="6">
        <v>5100</v>
      </c>
      <c r="K72" s="6">
        <v>6133</v>
      </c>
      <c r="L72" s="6">
        <v>5164</v>
      </c>
      <c r="M72" s="6">
        <v>6167</v>
      </c>
      <c r="N72" s="6">
        <v>6397</v>
      </c>
    </row>
    <row r="73" spans="1:14" x14ac:dyDescent="0.25">
      <c r="A73" s="1"/>
      <c r="B73" s="5" t="s">
        <v>15</v>
      </c>
      <c r="C73" s="5" t="s">
        <v>17</v>
      </c>
      <c r="D73" s="6">
        <v>7747</v>
      </c>
      <c r="E73" s="6">
        <v>8202</v>
      </c>
      <c r="F73" s="6">
        <v>8146</v>
      </c>
      <c r="G73" s="6">
        <v>11241</v>
      </c>
      <c r="H73" s="6">
        <v>13721</v>
      </c>
      <c r="I73" s="6">
        <v>14419</v>
      </c>
      <c r="J73" s="6">
        <v>12066</v>
      </c>
      <c r="K73" s="6">
        <v>14306</v>
      </c>
      <c r="L73" s="6">
        <v>16240</v>
      </c>
      <c r="M73" s="6">
        <v>17978</v>
      </c>
      <c r="N73" s="6">
        <v>20915</v>
      </c>
    </row>
    <row r="74" spans="1:14" x14ac:dyDescent="0.25">
      <c r="A74" s="1"/>
      <c r="B74" s="5" t="s">
        <v>15</v>
      </c>
      <c r="C74" s="5" t="s">
        <v>18</v>
      </c>
      <c r="D74" s="6">
        <v>12730</v>
      </c>
      <c r="E74" s="6">
        <v>10445</v>
      </c>
      <c r="F74" s="6">
        <v>10355</v>
      </c>
      <c r="G74" s="6">
        <v>18035</v>
      </c>
      <c r="H74" s="6">
        <v>18330</v>
      </c>
      <c r="I74" s="6">
        <v>17574</v>
      </c>
      <c r="J74" s="6">
        <v>24088</v>
      </c>
      <c r="K74" s="6">
        <v>21523</v>
      </c>
      <c r="L74" s="6">
        <v>25976</v>
      </c>
      <c r="M74" s="6">
        <v>27943</v>
      </c>
      <c r="N74" s="6">
        <v>24538</v>
      </c>
    </row>
    <row r="75" spans="1:14" x14ac:dyDescent="0.25">
      <c r="A75" s="1"/>
      <c r="B75" s="5" t="s">
        <v>15</v>
      </c>
      <c r="C75" s="5" t="s">
        <v>19</v>
      </c>
      <c r="D75" s="6">
        <v>24884</v>
      </c>
      <c r="E75" s="6">
        <v>24716</v>
      </c>
      <c r="F75" s="6">
        <v>24675</v>
      </c>
      <c r="G75" s="6">
        <v>29314</v>
      </c>
      <c r="H75" s="6">
        <v>30954</v>
      </c>
      <c r="I75" s="6">
        <v>30633</v>
      </c>
      <c r="J75" s="6">
        <v>37460</v>
      </c>
      <c r="K75" s="6">
        <v>40238</v>
      </c>
      <c r="L75" s="6">
        <v>43017</v>
      </c>
      <c r="M75" s="6">
        <v>47460</v>
      </c>
      <c r="N75" s="6">
        <v>47176</v>
      </c>
    </row>
    <row r="76" spans="1:14" x14ac:dyDescent="0.25">
      <c r="A76" s="1"/>
      <c r="B76" s="5" t="s">
        <v>15</v>
      </c>
      <c r="C76" s="5" t="s">
        <v>20</v>
      </c>
      <c r="D76" s="6">
        <v>3570</v>
      </c>
      <c r="E76" s="6">
        <v>4718</v>
      </c>
      <c r="F76" s="6">
        <v>5338</v>
      </c>
      <c r="G76" s="6">
        <v>5639</v>
      </c>
      <c r="H76" s="6">
        <v>6413</v>
      </c>
      <c r="I76" s="6">
        <v>7457</v>
      </c>
      <c r="J76" s="6">
        <v>10315</v>
      </c>
      <c r="K76" s="6">
        <v>11991</v>
      </c>
      <c r="L76" s="6">
        <v>13775</v>
      </c>
      <c r="M76" s="6">
        <v>14900</v>
      </c>
      <c r="N76" s="6">
        <v>13473</v>
      </c>
    </row>
    <row r="77" spans="1:14" x14ac:dyDescent="0.25">
      <c r="A77" s="1"/>
      <c r="B77" s="5" t="s">
        <v>21</v>
      </c>
      <c r="C77" s="5" t="s">
        <v>16</v>
      </c>
      <c r="D77" s="6">
        <v>8466</v>
      </c>
      <c r="E77" s="6">
        <v>8484</v>
      </c>
      <c r="F77" s="6">
        <v>8531</v>
      </c>
      <c r="G77" s="6">
        <v>7595</v>
      </c>
      <c r="H77" s="6">
        <v>7221</v>
      </c>
      <c r="I77" s="6">
        <v>7517</v>
      </c>
      <c r="J77" s="6">
        <v>5076</v>
      </c>
      <c r="K77" s="6">
        <v>4828</v>
      </c>
      <c r="L77" s="6">
        <v>5306</v>
      </c>
      <c r="M77" s="6">
        <v>5697</v>
      </c>
      <c r="N77" s="6">
        <v>5645</v>
      </c>
    </row>
    <row r="78" spans="1:14" x14ac:dyDescent="0.25">
      <c r="A78" s="1"/>
      <c r="B78" s="5" t="s">
        <v>21</v>
      </c>
      <c r="C78" s="5" t="s">
        <v>17</v>
      </c>
      <c r="D78" s="6">
        <v>9016</v>
      </c>
      <c r="E78" s="6">
        <v>9731</v>
      </c>
      <c r="F78" s="6">
        <v>8602</v>
      </c>
      <c r="G78" s="6">
        <v>7938</v>
      </c>
      <c r="H78" s="6">
        <v>7956</v>
      </c>
      <c r="I78" s="6">
        <v>7409</v>
      </c>
      <c r="J78" s="6">
        <v>5268</v>
      </c>
      <c r="K78" s="6">
        <v>5330</v>
      </c>
      <c r="L78" s="6">
        <v>7215</v>
      </c>
      <c r="M78" s="6">
        <v>6702</v>
      </c>
      <c r="N78" s="6">
        <v>6368</v>
      </c>
    </row>
    <row r="79" spans="1:14" x14ac:dyDescent="0.25">
      <c r="A79" s="1"/>
      <c r="B79" s="5" t="s">
        <v>21</v>
      </c>
      <c r="C79" s="5" t="s">
        <v>18</v>
      </c>
      <c r="D79" s="6">
        <v>13893</v>
      </c>
      <c r="E79" s="6">
        <v>13959</v>
      </c>
      <c r="F79" s="6">
        <v>11926</v>
      </c>
      <c r="G79" s="6">
        <v>12183</v>
      </c>
      <c r="H79" s="6">
        <v>13476</v>
      </c>
      <c r="I79" s="6">
        <v>11525</v>
      </c>
      <c r="J79" s="6">
        <v>9380</v>
      </c>
      <c r="K79" s="6">
        <v>8439</v>
      </c>
      <c r="L79" s="6">
        <v>9238</v>
      </c>
      <c r="M79" s="6">
        <v>9222</v>
      </c>
      <c r="N79" s="6">
        <v>9382</v>
      </c>
    </row>
    <row r="80" spans="1:14" x14ac:dyDescent="0.25">
      <c r="A80" s="1"/>
      <c r="B80" s="5" t="s">
        <v>21</v>
      </c>
      <c r="C80" s="5" t="s">
        <v>19</v>
      </c>
      <c r="D80" s="6">
        <v>53764</v>
      </c>
      <c r="E80" s="6">
        <v>51343</v>
      </c>
      <c r="F80" s="6">
        <v>49419</v>
      </c>
      <c r="G80" s="6">
        <v>46984</v>
      </c>
      <c r="H80" s="6">
        <v>47539</v>
      </c>
      <c r="I80" s="6">
        <v>46826</v>
      </c>
      <c r="J80" s="6">
        <v>39505</v>
      </c>
      <c r="K80" s="6">
        <v>40177</v>
      </c>
      <c r="L80" s="6">
        <v>41159</v>
      </c>
      <c r="M80" s="6">
        <v>40073</v>
      </c>
      <c r="N80" s="6">
        <v>38480</v>
      </c>
    </row>
    <row r="81" spans="1:14" x14ac:dyDescent="0.25">
      <c r="A81" s="1"/>
      <c r="B81" s="5" t="s">
        <v>21</v>
      </c>
      <c r="C81" s="5" t="s">
        <v>20</v>
      </c>
      <c r="D81" s="6">
        <v>6467</v>
      </c>
      <c r="E81" s="6">
        <v>6196</v>
      </c>
      <c r="F81" s="6">
        <v>6278</v>
      </c>
      <c r="G81" s="6">
        <v>6230</v>
      </c>
      <c r="H81" s="6">
        <v>5463</v>
      </c>
      <c r="I81" s="6">
        <v>5422</v>
      </c>
      <c r="J81" s="6">
        <v>9135</v>
      </c>
      <c r="K81" s="6">
        <v>8309</v>
      </c>
      <c r="L81" s="6">
        <v>7051</v>
      </c>
      <c r="M81" s="6">
        <v>6139</v>
      </c>
      <c r="N81" s="6">
        <v>6534</v>
      </c>
    </row>
    <row r="82" spans="1:14" x14ac:dyDescent="0.25">
      <c r="A82" s="1" t="s">
        <v>29</v>
      </c>
      <c r="B82" s="5" t="s">
        <v>15</v>
      </c>
      <c r="C82" s="5" t="s">
        <v>16</v>
      </c>
      <c r="D82" s="6">
        <v>3007</v>
      </c>
      <c r="E82" s="6">
        <v>3226</v>
      </c>
      <c r="F82" s="6">
        <v>4130</v>
      </c>
      <c r="G82" s="6">
        <v>3698</v>
      </c>
      <c r="H82" s="6">
        <v>4498</v>
      </c>
      <c r="I82" s="6">
        <v>5128</v>
      </c>
      <c r="J82" s="6">
        <v>7205</v>
      </c>
      <c r="K82" s="6">
        <v>8211</v>
      </c>
      <c r="L82" s="6">
        <v>6542</v>
      </c>
      <c r="M82" s="6">
        <v>6891</v>
      </c>
      <c r="N82" s="6">
        <v>6644</v>
      </c>
    </row>
    <row r="83" spans="1:14" x14ac:dyDescent="0.25">
      <c r="A83" s="1"/>
      <c r="B83" s="5" t="s">
        <v>15</v>
      </c>
      <c r="C83" s="5" t="s">
        <v>17</v>
      </c>
      <c r="D83" s="6">
        <v>10942</v>
      </c>
      <c r="E83" s="6">
        <v>11282</v>
      </c>
      <c r="F83" s="6">
        <v>12901</v>
      </c>
      <c r="G83" s="6">
        <v>15845</v>
      </c>
      <c r="H83" s="6">
        <v>23244</v>
      </c>
      <c r="I83" s="6">
        <v>21349</v>
      </c>
      <c r="J83" s="6">
        <v>16951</v>
      </c>
      <c r="K83" s="6">
        <v>16997</v>
      </c>
      <c r="L83" s="6">
        <v>22867</v>
      </c>
      <c r="M83" s="6">
        <v>24001</v>
      </c>
      <c r="N83" s="6">
        <v>25543</v>
      </c>
    </row>
    <row r="84" spans="1:14" x14ac:dyDescent="0.25">
      <c r="A84" s="1"/>
      <c r="B84" s="5" t="s">
        <v>15</v>
      </c>
      <c r="C84" s="5" t="s">
        <v>18</v>
      </c>
      <c r="D84" s="6">
        <v>15884</v>
      </c>
      <c r="E84" s="6">
        <v>15503</v>
      </c>
      <c r="F84" s="6">
        <v>19111</v>
      </c>
      <c r="G84" s="6">
        <v>29991</v>
      </c>
      <c r="H84" s="6">
        <v>27547</v>
      </c>
      <c r="I84" s="6">
        <v>26044</v>
      </c>
      <c r="J84" s="6">
        <v>29268</v>
      </c>
      <c r="K84" s="6">
        <v>24987</v>
      </c>
      <c r="L84" s="6">
        <v>30135</v>
      </c>
      <c r="M84" s="6">
        <v>30359</v>
      </c>
      <c r="N84" s="6">
        <v>25569</v>
      </c>
    </row>
    <row r="85" spans="1:14" x14ac:dyDescent="0.25">
      <c r="A85" s="1"/>
      <c r="B85" s="5" t="s">
        <v>15</v>
      </c>
      <c r="C85" s="5" t="s">
        <v>19</v>
      </c>
      <c r="D85" s="6">
        <v>27947</v>
      </c>
      <c r="E85" s="6">
        <v>29473</v>
      </c>
      <c r="F85" s="6">
        <v>32268</v>
      </c>
      <c r="G85" s="6">
        <v>42395</v>
      </c>
      <c r="H85" s="6">
        <v>44129</v>
      </c>
      <c r="I85" s="6">
        <v>44545</v>
      </c>
      <c r="J85" s="6">
        <v>50751</v>
      </c>
      <c r="K85" s="6">
        <v>51346</v>
      </c>
      <c r="L85" s="6">
        <v>50593</v>
      </c>
      <c r="M85" s="6">
        <v>51281</v>
      </c>
      <c r="N85" s="6">
        <v>48231</v>
      </c>
    </row>
    <row r="86" spans="1:14" x14ac:dyDescent="0.25">
      <c r="A86" s="1"/>
      <c r="B86" s="5" t="s">
        <v>15</v>
      </c>
      <c r="C86" s="5" t="s">
        <v>20</v>
      </c>
      <c r="D86" s="6">
        <v>6565</v>
      </c>
      <c r="E86" s="6">
        <v>7187</v>
      </c>
      <c r="F86" s="6">
        <v>9053</v>
      </c>
      <c r="G86" s="6">
        <v>10148</v>
      </c>
      <c r="H86" s="6">
        <v>11199</v>
      </c>
      <c r="I86" s="6">
        <v>12816</v>
      </c>
      <c r="J86" s="6">
        <v>15091</v>
      </c>
      <c r="K86" s="6">
        <v>16837</v>
      </c>
      <c r="L86" s="6">
        <v>17418</v>
      </c>
      <c r="M86" s="6">
        <v>17809</v>
      </c>
      <c r="N86" s="6">
        <v>15359</v>
      </c>
    </row>
    <row r="87" spans="1:14" x14ac:dyDescent="0.25">
      <c r="A87" s="1"/>
      <c r="B87" s="5" t="s">
        <v>21</v>
      </c>
      <c r="C87" s="5" t="s">
        <v>16</v>
      </c>
      <c r="D87" s="6">
        <v>7558</v>
      </c>
      <c r="E87" s="6">
        <v>8090</v>
      </c>
      <c r="F87" s="6">
        <v>7098</v>
      </c>
      <c r="G87" s="6">
        <v>7290</v>
      </c>
      <c r="H87" s="6">
        <v>6315</v>
      </c>
      <c r="I87" s="6">
        <v>5542</v>
      </c>
      <c r="J87" s="6">
        <v>4491</v>
      </c>
      <c r="K87" s="6">
        <v>4929</v>
      </c>
      <c r="L87" s="6">
        <v>4971</v>
      </c>
      <c r="M87" s="6">
        <v>5498</v>
      </c>
      <c r="N87" s="6">
        <v>4309</v>
      </c>
    </row>
    <row r="88" spans="1:14" x14ac:dyDescent="0.25">
      <c r="A88" s="1"/>
      <c r="B88" s="5" t="s">
        <v>21</v>
      </c>
      <c r="C88" s="5" t="s">
        <v>17</v>
      </c>
      <c r="D88" s="6">
        <v>13949</v>
      </c>
      <c r="E88" s="6">
        <v>14732</v>
      </c>
      <c r="F88" s="6">
        <v>13974</v>
      </c>
      <c r="G88" s="6">
        <v>13896</v>
      </c>
      <c r="H88" s="6">
        <v>13640</v>
      </c>
      <c r="I88" s="6">
        <v>12987</v>
      </c>
      <c r="J88" s="6">
        <v>9197</v>
      </c>
      <c r="K88" s="6">
        <v>8503</v>
      </c>
      <c r="L88" s="6">
        <v>12327</v>
      </c>
      <c r="M88" s="6">
        <v>11921</v>
      </c>
      <c r="N88" s="6">
        <v>10236</v>
      </c>
    </row>
    <row r="89" spans="1:14" x14ac:dyDescent="0.25">
      <c r="A89" s="1"/>
      <c r="B89" s="5" t="s">
        <v>21</v>
      </c>
      <c r="C89" s="5" t="s">
        <v>18</v>
      </c>
      <c r="D89" s="6">
        <v>18229</v>
      </c>
      <c r="E89" s="6">
        <v>17135</v>
      </c>
      <c r="F89" s="6">
        <v>17689</v>
      </c>
      <c r="G89" s="6">
        <v>17666</v>
      </c>
      <c r="H89" s="6">
        <v>17627</v>
      </c>
      <c r="I89" s="6">
        <v>16644</v>
      </c>
      <c r="J89" s="6">
        <v>13913</v>
      </c>
      <c r="K89" s="6">
        <v>11481</v>
      </c>
      <c r="L89" s="6">
        <v>11171</v>
      </c>
      <c r="M89" s="6">
        <v>11971</v>
      </c>
      <c r="N89" s="6">
        <v>11850</v>
      </c>
    </row>
    <row r="90" spans="1:14" x14ac:dyDescent="0.25">
      <c r="A90" s="1"/>
      <c r="B90" s="5" t="s">
        <v>21</v>
      </c>
      <c r="C90" s="5" t="s">
        <v>19</v>
      </c>
      <c r="D90" s="6">
        <v>58035</v>
      </c>
      <c r="E90" s="6">
        <v>54888</v>
      </c>
      <c r="F90" s="6">
        <v>53975</v>
      </c>
      <c r="G90" s="6">
        <v>53158</v>
      </c>
      <c r="H90" s="6">
        <v>52238</v>
      </c>
      <c r="I90" s="6">
        <v>51244</v>
      </c>
      <c r="J90" s="6">
        <v>45393</v>
      </c>
      <c r="K90" s="6">
        <v>46904</v>
      </c>
      <c r="L90" s="6">
        <v>43725</v>
      </c>
      <c r="M90" s="6">
        <v>41080</v>
      </c>
      <c r="N90" s="6">
        <v>38059</v>
      </c>
    </row>
    <row r="91" spans="1:14" x14ac:dyDescent="0.25">
      <c r="A91" s="1"/>
      <c r="B91" s="5" t="s">
        <v>21</v>
      </c>
      <c r="C91" s="5" t="s">
        <v>20</v>
      </c>
      <c r="D91" s="6">
        <v>9486</v>
      </c>
      <c r="E91" s="6">
        <v>9832</v>
      </c>
      <c r="F91" s="6">
        <v>8377</v>
      </c>
      <c r="G91" s="6">
        <v>7904</v>
      </c>
      <c r="H91" s="6">
        <v>7542</v>
      </c>
      <c r="I91" s="6">
        <v>7156</v>
      </c>
      <c r="J91" s="6">
        <v>11181</v>
      </c>
      <c r="K91" s="6">
        <v>11257</v>
      </c>
      <c r="L91" s="6">
        <v>9389</v>
      </c>
      <c r="M91" s="6">
        <v>8199</v>
      </c>
      <c r="N91" s="6">
        <v>8135</v>
      </c>
    </row>
    <row r="92" spans="1:14" x14ac:dyDescent="0.25">
      <c r="A92" s="1" t="s">
        <v>30</v>
      </c>
      <c r="B92" s="5" t="s">
        <v>15</v>
      </c>
      <c r="C92" s="5" t="s">
        <v>16</v>
      </c>
      <c r="D92" s="6">
        <v>49472</v>
      </c>
      <c r="E92" s="6">
        <v>60283</v>
      </c>
      <c r="F92" s="6">
        <v>62273</v>
      </c>
      <c r="G92" s="6">
        <v>66645</v>
      </c>
      <c r="H92" s="6">
        <v>69932</v>
      </c>
      <c r="I92" s="6">
        <v>77170</v>
      </c>
      <c r="J92" s="6">
        <v>94771</v>
      </c>
      <c r="K92" s="6">
        <v>125229</v>
      </c>
      <c r="L92" s="6">
        <v>114646</v>
      </c>
      <c r="M92" s="6">
        <v>93099</v>
      </c>
      <c r="N92" s="6">
        <v>80880</v>
      </c>
    </row>
    <row r="93" spans="1:14" x14ac:dyDescent="0.25">
      <c r="A93" s="1"/>
      <c r="B93" s="5" t="s">
        <v>15</v>
      </c>
      <c r="C93" s="5" t="s">
        <v>17</v>
      </c>
      <c r="D93" s="6">
        <v>76899</v>
      </c>
      <c r="E93" s="6">
        <v>79330</v>
      </c>
      <c r="F93" s="6">
        <v>91868</v>
      </c>
      <c r="G93" s="6">
        <v>96561</v>
      </c>
      <c r="H93" s="6">
        <v>146808</v>
      </c>
      <c r="I93" s="6">
        <v>143525</v>
      </c>
      <c r="J93" s="6">
        <v>150292</v>
      </c>
      <c r="K93" s="6">
        <v>156673</v>
      </c>
      <c r="L93" s="6">
        <v>214751</v>
      </c>
      <c r="M93" s="6">
        <v>230224</v>
      </c>
      <c r="N93" s="6">
        <v>262680</v>
      </c>
    </row>
    <row r="94" spans="1:14" x14ac:dyDescent="0.25">
      <c r="A94" s="1"/>
      <c r="B94" s="5" t="s">
        <v>15</v>
      </c>
      <c r="C94" s="5" t="s">
        <v>18</v>
      </c>
      <c r="D94" s="6">
        <v>141558</v>
      </c>
      <c r="E94" s="6">
        <v>134154</v>
      </c>
      <c r="F94" s="6">
        <v>170963</v>
      </c>
      <c r="G94" s="6">
        <v>199884</v>
      </c>
      <c r="H94" s="6">
        <v>252675</v>
      </c>
      <c r="I94" s="6">
        <v>286941</v>
      </c>
      <c r="J94" s="6">
        <v>276047</v>
      </c>
      <c r="K94" s="6">
        <v>247630</v>
      </c>
      <c r="L94" s="6">
        <v>373386</v>
      </c>
      <c r="M94" s="6">
        <v>378633</v>
      </c>
      <c r="N94" s="6">
        <v>373577</v>
      </c>
    </row>
    <row r="95" spans="1:14" x14ac:dyDescent="0.25">
      <c r="A95" s="1"/>
      <c r="B95" s="5" t="s">
        <v>15</v>
      </c>
      <c r="C95" s="5" t="s">
        <v>19</v>
      </c>
      <c r="D95" s="6">
        <v>331169</v>
      </c>
      <c r="E95" s="6">
        <v>341339</v>
      </c>
      <c r="F95" s="6">
        <v>377094</v>
      </c>
      <c r="G95" s="6">
        <v>422736</v>
      </c>
      <c r="H95" s="6">
        <v>478102</v>
      </c>
      <c r="I95" s="6">
        <v>551860</v>
      </c>
      <c r="J95" s="6">
        <v>595194</v>
      </c>
      <c r="K95" s="6">
        <v>598340</v>
      </c>
      <c r="L95" s="6">
        <v>650100</v>
      </c>
      <c r="M95" s="6">
        <v>689514</v>
      </c>
      <c r="N95" s="6">
        <v>724291</v>
      </c>
    </row>
    <row r="96" spans="1:14" x14ac:dyDescent="0.25">
      <c r="A96" s="1"/>
      <c r="B96" s="5" t="s">
        <v>15</v>
      </c>
      <c r="C96" s="5" t="s">
        <v>20</v>
      </c>
      <c r="D96" s="6">
        <v>41130</v>
      </c>
      <c r="E96" s="6">
        <v>41738</v>
      </c>
      <c r="F96" s="6">
        <v>47777</v>
      </c>
      <c r="G96" s="6">
        <v>54048</v>
      </c>
      <c r="H96" s="6">
        <v>49019</v>
      </c>
      <c r="I96" s="6">
        <v>68722</v>
      </c>
      <c r="J96" s="6">
        <v>93395</v>
      </c>
      <c r="K96" s="6">
        <v>100443</v>
      </c>
      <c r="L96" s="6">
        <v>102537</v>
      </c>
      <c r="M96" s="6">
        <v>114862</v>
      </c>
      <c r="N96" s="6">
        <v>119066</v>
      </c>
    </row>
    <row r="97" spans="1:14" x14ac:dyDescent="0.25">
      <c r="A97" s="1"/>
      <c r="B97" s="5" t="s">
        <v>21</v>
      </c>
      <c r="C97" s="5" t="s">
        <v>16</v>
      </c>
      <c r="D97" s="6">
        <v>53096</v>
      </c>
      <c r="E97" s="6">
        <v>61154</v>
      </c>
      <c r="F97" s="6">
        <v>61565</v>
      </c>
      <c r="G97" s="6">
        <v>57971</v>
      </c>
      <c r="H97" s="6">
        <v>52478</v>
      </c>
      <c r="I97" s="6">
        <v>47239</v>
      </c>
      <c r="J97" s="6">
        <v>41262</v>
      </c>
      <c r="K97" s="6">
        <v>40198</v>
      </c>
      <c r="L97" s="6">
        <v>36961</v>
      </c>
      <c r="M97" s="6">
        <v>31020</v>
      </c>
      <c r="N97" s="6">
        <v>22577</v>
      </c>
    </row>
    <row r="98" spans="1:14" x14ac:dyDescent="0.25">
      <c r="A98" s="1"/>
      <c r="B98" s="5" t="s">
        <v>21</v>
      </c>
      <c r="C98" s="5" t="s">
        <v>17</v>
      </c>
      <c r="D98" s="6">
        <v>50116</v>
      </c>
      <c r="E98" s="6">
        <v>50332</v>
      </c>
      <c r="F98" s="6">
        <v>55031</v>
      </c>
      <c r="G98" s="6">
        <v>47789</v>
      </c>
      <c r="H98" s="6">
        <v>49894</v>
      </c>
      <c r="I98" s="6">
        <v>51889</v>
      </c>
      <c r="J98" s="6">
        <v>43068</v>
      </c>
      <c r="K98" s="6">
        <v>37345</v>
      </c>
      <c r="L98" s="6">
        <v>32964</v>
      </c>
      <c r="M98" s="6">
        <v>31613</v>
      </c>
      <c r="N98" s="6">
        <v>29063</v>
      </c>
    </row>
    <row r="99" spans="1:14" x14ac:dyDescent="0.25">
      <c r="A99" s="1"/>
      <c r="B99" s="5" t="s">
        <v>21</v>
      </c>
      <c r="C99" s="5" t="s">
        <v>18</v>
      </c>
      <c r="D99" s="6">
        <v>101930</v>
      </c>
      <c r="E99" s="6">
        <v>90046</v>
      </c>
      <c r="F99" s="6">
        <v>88627</v>
      </c>
      <c r="G99" s="6">
        <v>89505</v>
      </c>
      <c r="H99" s="6">
        <v>92237</v>
      </c>
      <c r="I99" s="6">
        <v>90744</v>
      </c>
      <c r="J99" s="6">
        <v>62224</v>
      </c>
      <c r="K99" s="6">
        <v>36657</v>
      </c>
      <c r="L99" s="6">
        <v>47031</v>
      </c>
      <c r="M99" s="6">
        <v>51315</v>
      </c>
      <c r="N99" s="6">
        <v>47803</v>
      </c>
    </row>
    <row r="100" spans="1:14" x14ac:dyDescent="0.25">
      <c r="A100" s="1"/>
      <c r="B100" s="5" t="s">
        <v>21</v>
      </c>
      <c r="C100" s="5" t="s">
        <v>19</v>
      </c>
      <c r="D100" s="6">
        <v>311925</v>
      </c>
      <c r="E100" s="6">
        <v>307081</v>
      </c>
      <c r="F100" s="6">
        <v>294106</v>
      </c>
      <c r="G100" s="6">
        <v>279858</v>
      </c>
      <c r="H100" s="6">
        <v>269409</v>
      </c>
      <c r="I100" s="6">
        <v>263883</v>
      </c>
      <c r="J100" s="6">
        <v>221120</v>
      </c>
      <c r="K100" s="6">
        <v>190857</v>
      </c>
      <c r="L100" s="6">
        <v>171700</v>
      </c>
      <c r="M100" s="6">
        <v>162813</v>
      </c>
      <c r="N100" s="6">
        <v>154434</v>
      </c>
    </row>
    <row r="101" spans="1:14" x14ac:dyDescent="0.25">
      <c r="A101" s="1"/>
      <c r="B101" s="5" t="s">
        <v>21</v>
      </c>
      <c r="C101" s="5" t="s">
        <v>20</v>
      </c>
      <c r="D101" s="6">
        <v>37678</v>
      </c>
      <c r="E101" s="6">
        <v>38791</v>
      </c>
      <c r="F101" s="6">
        <v>33697</v>
      </c>
      <c r="G101" s="6">
        <v>35450</v>
      </c>
      <c r="H101" s="6">
        <v>35207</v>
      </c>
      <c r="I101" s="6">
        <v>32706</v>
      </c>
      <c r="J101" s="6">
        <v>39198</v>
      </c>
      <c r="K101" s="6">
        <v>34641</v>
      </c>
      <c r="L101" s="6">
        <v>28172</v>
      </c>
      <c r="M101" s="6">
        <v>23695</v>
      </c>
      <c r="N101" s="6">
        <v>22186</v>
      </c>
    </row>
  </sheetData>
  <mergeCells count="10">
    <mergeCell ref="A52:A61"/>
    <mergeCell ref="A62:A71"/>
    <mergeCell ref="A72:A81"/>
    <mergeCell ref="A82:A91"/>
    <mergeCell ref="A92:A101"/>
    <mergeCell ref="A2:A11"/>
    <mergeCell ref="A12:A21"/>
    <mergeCell ref="A22:A31"/>
    <mergeCell ref="A32:A41"/>
    <mergeCell ref="A42:A5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tabSelected="1" topLeftCell="A13" zoomScaleNormal="100" workbookViewId="0">
      <selection sqref="A1:N42"/>
    </sheetView>
  </sheetViews>
  <sheetFormatPr defaultColWidth="8.7109375" defaultRowHeight="15" x14ac:dyDescent="0.25"/>
  <cols>
    <col min="1" max="1" width="13" customWidth="1"/>
    <col min="2" max="2" width="10.140625" customWidth="1"/>
    <col min="3" max="3" width="9.7109375" customWidth="1"/>
    <col min="4" max="14" width="7.85546875" customWidth="1"/>
    <col min="21" max="21" width="11.28515625" customWidth="1"/>
  </cols>
  <sheetData>
    <row r="1" spans="1:23" x14ac:dyDescent="0.25">
      <c r="A1" s="7" t="s">
        <v>31</v>
      </c>
      <c r="B1" s="7" t="s">
        <v>32</v>
      </c>
      <c r="C1" s="7" t="s">
        <v>33</v>
      </c>
      <c r="D1" s="4">
        <v>2014</v>
      </c>
      <c r="E1" s="4">
        <v>2015</v>
      </c>
      <c r="F1" s="4">
        <v>2016</v>
      </c>
      <c r="G1" s="4">
        <v>2017</v>
      </c>
      <c r="H1" s="4">
        <v>2018</v>
      </c>
      <c r="I1" s="4">
        <v>2019</v>
      </c>
      <c r="J1" s="4">
        <v>2020</v>
      </c>
      <c r="K1" s="4">
        <v>2021</v>
      </c>
      <c r="L1" s="4">
        <v>2022</v>
      </c>
      <c r="M1" s="4">
        <v>2023</v>
      </c>
      <c r="N1" s="4">
        <v>2024</v>
      </c>
      <c r="S1" t="s">
        <v>33</v>
      </c>
      <c r="U1">
        <v>2024</v>
      </c>
      <c r="V1">
        <v>2019</v>
      </c>
      <c r="W1">
        <v>2014</v>
      </c>
    </row>
    <row r="2" spans="1:23" x14ac:dyDescent="0.25">
      <c r="A2" s="3" t="s">
        <v>25</v>
      </c>
      <c r="B2" s="8" t="s">
        <v>15</v>
      </c>
      <c r="C2" s="8" t="s">
        <v>35</v>
      </c>
      <c r="D2" s="6">
        <v>973</v>
      </c>
      <c r="E2" s="6">
        <v>926</v>
      </c>
      <c r="F2" s="6">
        <v>1217</v>
      </c>
      <c r="G2" s="6">
        <v>12499</v>
      </c>
      <c r="H2" s="6">
        <v>12455</v>
      </c>
      <c r="I2" s="6">
        <v>13752</v>
      </c>
      <c r="J2" s="6">
        <v>7823</v>
      </c>
      <c r="K2" s="6">
        <v>11935</v>
      </c>
      <c r="L2" s="6">
        <v>9690</v>
      </c>
      <c r="M2" s="6">
        <v>9345</v>
      </c>
      <c r="N2" s="6">
        <v>7371</v>
      </c>
      <c r="P2" s="9">
        <f t="shared" ref="P2:P41" si="0">N2/D2-1</f>
        <v>6.5755395683453237</v>
      </c>
      <c r="S2" t="s">
        <v>34</v>
      </c>
      <c r="U2" s="10">
        <f>N5+N10+N15+N20+N25+N30+N35+N40</f>
        <v>1169673</v>
      </c>
      <c r="V2" s="10">
        <f>I5+I10+I15+I20+I25+I30+I35+I40</f>
        <v>1142518</v>
      </c>
      <c r="W2" s="10">
        <f>D5+D10+D15+D20+D25+D30+D35+D40</f>
        <v>956754</v>
      </c>
    </row>
    <row r="3" spans="1:23" x14ac:dyDescent="0.25">
      <c r="A3" s="3"/>
      <c r="B3" s="8" t="s">
        <v>15</v>
      </c>
      <c r="C3" s="8" t="s">
        <v>17</v>
      </c>
      <c r="D3" s="6">
        <v>9063</v>
      </c>
      <c r="E3" s="6">
        <v>12359</v>
      </c>
      <c r="F3" s="6">
        <v>22995</v>
      </c>
      <c r="G3" s="6">
        <v>30064</v>
      </c>
      <c r="H3" s="6">
        <v>34460</v>
      </c>
      <c r="I3" s="6">
        <v>26676</v>
      </c>
      <c r="J3" s="6">
        <v>26029</v>
      </c>
      <c r="K3" s="6">
        <v>31461</v>
      </c>
      <c r="L3" s="6">
        <v>33848</v>
      </c>
      <c r="M3" s="6">
        <v>36426</v>
      </c>
      <c r="N3" s="6">
        <v>45257</v>
      </c>
      <c r="P3" s="9">
        <f t="shared" si="0"/>
        <v>3.9936003530839681</v>
      </c>
      <c r="S3" t="s">
        <v>18</v>
      </c>
      <c r="U3" s="10">
        <f>N4+N9+N14+N19+N24+N29+N34+N39</f>
        <v>557191</v>
      </c>
      <c r="V3" s="10">
        <f>I4+I9+I14+I19+I24+I29+I34+I39</f>
        <v>511787</v>
      </c>
      <c r="W3" s="10">
        <f>D4+D9+D14+D19+D24+D29+D34+D39</f>
        <v>383641</v>
      </c>
    </row>
    <row r="4" spans="1:23" x14ac:dyDescent="0.25">
      <c r="A4" s="3"/>
      <c r="B4" s="8" t="s">
        <v>15</v>
      </c>
      <c r="C4" s="8" t="s">
        <v>18</v>
      </c>
      <c r="D4" s="6">
        <v>29978</v>
      </c>
      <c r="E4" s="6">
        <v>28644</v>
      </c>
      <c r="F4" s="6">
        <v>46316</v>
      </c>
      <c r="G4" s="6">
        <v>37275</v>
      </c>
      <c r="H4" s="6">
        <v>40700</v>
      </c>
      <c r="I4" s="6">
        <v>36737</v>
      </c>
      <c r="J4" s="6">
        <v>37269</v>
      </c>
      <c r="K4" s="6">
        <v>35430</v>
      </c>
      <c r="L4" s="6">
        <v>47093</v>
      </c>
      <c r="M4" s="6">
        <v>53309</v>
      </c>
      <c r="N4" s="6">
        <v>55235</v>
      </c>
      <c r="P4" s="9">
        <f t="shared" si="0"/>
        <v>0.84251784642070859</v>
      </c>
      <c r="S4" t="s">
        <v>20</v>
      </c>
      <c r="U4" s="10">
        <f>N6+N11+N16+N21+N26+N31+N36+N41</f>
        <v>206933</v>
      </c>
      <c r="V4" s="10">
        <f>I6+I11+I16+I21+I26+I31+I36+I41</f>
        <v>154984</v>
      </c>
      <c r="W4" s="10">
        <f>D6+D11+D16+D21+D26+D31+D36+D41</f>
        <v>126494</v>
      </c>
    </row>
    <row r="5" spans="1:23" x14ac:dyDescent="0.25">
      <c r="A5" s="3"/>
      <c r="B5" s="8" t="s">
        <v>15</v>
      </c>
      <c r="C5" s="8" t="s">
        <v>19</v>
      </c>
      <c r="D5" s="6">
        <v>25251</v>
      </c>
      <c r="E5" s="6">
        <v>41416</v>
      </c>
      <c r="F5" s="6">
        <v>65020</v>
      </c>
      <c r="G5" s="6">
        <v>74498</v>
      </c>
      <c r="H5" s="6">
        <v>72190</v>
      </c>
      <c r="I5" s="6">
        <v>71471</v>
      </c>
      <c r="J5" s="6">
        <v>69289</v>
      </c>
      <c r="K5" s="6">
        <v>68464</v>
      </c>
      <c r="L5" s="6">
        <v>70504</v>
      </c>
      <c r="M5" s="6">
        <v>79256</v>
      </c>
      <c r="N5" s="6">
        <v>83425</v>
      </c>
      <c r="P5" s="9">
        <f t="shared" si="0"/>
        <v>2.303829551304899</v>
      </c>
      <c r="S5" t="s">
        <v>17</v>
      </c>
      <c r="U5" s="10">
        <f>N3+N8+N13+N18+N23+N28+N33+N38+N43</f>
        <v>408886</v>
      </c>
      <c r="V5" s="10">
        <f>I3+I8+I13+I18+I23+I28+I33+I38+I43</f>
        <v>304108</v>
      </c>
      <c r="W5" s="10">
        <f>D3+D8+D13+D18+D23+D28+D33+D38+D43</f>
        <v>204543</v>
      </c>
    </row>
    <row r="6" spans="1:23" x14ac:dyDescent="0.25">
      <c r="A6" s="3"/>
      <c r="B6" s="8" t="s">
        <v>15</v>
      </c>
      <c r="C6" s="8" t="s">
        <v>20</v>
      </c>
      <c r="D6" s="6">
        <v>892</v>
      </c>
      <c r="E6" s="6">
        <v>1303</v>
      </c>
      <c r="F6" s="6">
        <v>4523</v>
      </c>
      <c r="G6" s="6">
        <v>3620</v>
      </c>
      <c r="H6" s="6">
        <v>3572</v>
      </c>
      <c r="I6" s="6">
        <v>6589</v>
      </c>
      <c r="J6" s="6">
        <v>9849</v>
      </c>
      <c r="K6" s="6">
        <v>9297</v>
      </c>
      <c r="L6" s="6">
        <v>11980</v>
      </c>
      <c r="M6" s="6">
        <v>14658</v>
      </c>
      <c r="N6" s="6">
        <v>15210</v>
      </c>
      <c r="P6" s="9">
        <f t="shared" si="0"/>
        <v>16.051569506726459</v>
      </c>
      <c r="S6" t="s">
        <v>35</v>
      </c>
      <c r="U6" s="10">
        <f>N2+N7+N12+N17+N22+N27+N32+N37+N42</f>
        <v>139031</v>
      </c>
      <c r="V6" s="10">
        <f>I2+I7+I12+I17+I22+I27+I32+I37+I42</f>
        <v>176495</v>
      </c>
      <c r="W6" s="10">
        <f>D2+D7+D12+D17+D22+D27+D32+D37+D42</f>
        <v>143515</v>
      </c>
    </row>
    <row r="7" spans="1:23" x14ac:dyDescent="0.25">
      <c r="A7" s="3"/>
      <c r="B7" s="8" t="s">
        <v>21</v>
      </c>
      <c r="C7" s="8" t="s">
        <v>35</v>
      </c>
      <c r="D7" s="6">
        <v>18347</v>
      </c>
      <c r="E7" s="6">
        <v>21013</v>
      </c>
      <c r="F7" s="6">
        <v>21116</v>
      </c>
      <c r="G7" s="6">
        <v>21835</v>
      </c>
      <c r="H7" s="6">
        <v>20379</v>
      </c>
      <c r="I7" s="6">
        <v>16212</v>
      </c>
      <c r="J7" s="6">
        <v>11888</v>
      </c>
      <c r="K7" s="6">
        <v>10187</v>
      </c>
      <c r="L7" s="6">
        <v>8412</v>
      </c>
      <c r="M7" s="6">
        <v>6912</v>
      </c>
      <c r="N7" s="6">
        <v>5208</v>
      </c>
      <c r="P7" s="9">
        <f t="shared" si="0"/>
        <v>-0.71613887829072875</v>
      </c>
    </row>
    <row r="8" spans="1:23" x14ac:dyDescent="0.25">
      <c r="A8" s="3"/>
      <c r="B8" s="8" t="s">
        <v>21</v>
      </c>
      <c r="C8" s="8" t="s">
        <v>17</v>
      </c>
      <c r="D8" s="6">
        <v>26811</v>
      </c>
      <c r="E8" s="6">
        <v>29224</v>
      </c>
      <c r="F8" s="6">
        <v>33172</v>
      </c>
      <c r="G8" s="6">
        <v>28008</v>
      </c>
      <c r="H8" s="6">
        <v>26845</v>
      </c>
      <c r="I8" s="6">
        <v>25854</v>
      </c>
      <c r="J8" s="6">
        <v>18472</v>
      </c>
      <c r="K8" s="6">
        <v>14499</v>
      </c>
      <c r="L8" s="6">
        <v>12758</v>
      </c>
      <c r="M8" s="6">
        <v>10483</v>
      </c>
      <c r="N8" s="6">
        <v>8824</v>
      </c>
      <c r="P8" s="9">
        <f t="shared" si="0"/>
        <v>-0.67088135466786025</v>
      </c>
    </row>
    <row r="9" spans="1:23" x14ac:dyDescent="0.25">
      <c r="A9" s="3"/>
      <c r="B9" s="8" t="s">
        <v>21</v>
      </c>
      <c r="C9" s="8" t="s">
        <v>18</v>
      </c>
      <c r="D9" s="6">
        <v>49439</v>
      </c>
      <c r="E9" s="6">
        <v>45888</v>
      </c>
      <c r="F9" s="6">
        <v>43144</v>
      </c>
      <c r="G9" s="6">
        <v>34768</v>
      </c>
      <c r="H9" s="6">
        <v>28700</v>
      </c>
      <c r="I9" s="6">
        <v>25578</v>
      </c>
      <c r="J9" s="6">
        <v>17621</v>
      </c>
      <c r="K9" s="6">
        <v>11847</v>
      </c>
      <c r="L9" s="6">
        <v>10790</v>
      </c>
      <c r="M9" s="6">
        <v>10792</v>
      </c>
      <c r="N9" s="6">
        <v>9237</v>
      </c>
      <c r="P9" s="9">
        <f t="shared" si="0"/>
        <v>-0.81316369667671273</v>
      </c>
    </row>
    <row r="10" spans="1:23" x14ac:dyDescent="0.25">
      <c r="A10" s="3"/>
      <c r="B10" s="8" t="s">
        <v>21</v>
      </c>
      <c r="C10" s="8" t="s">
        <v>19</v>
      </c>
      <c r="D10" s="6">
        <v>123779</v>
      </c>
      <c r="E10" s="6">
        <v>126272</v>
      </c>
      <c r="F10" s="6">
        <v>120553</v>
      </c>
      <c r="G10" s="6">
        <v>111313</v>
      </c>
      <c r="H10" s="6">
        <v>95963</v>
      </c>
      <c r="I10" s="6">
        <v>82056</v>
      </c>
      <c r="J10" s="6">
        <v>62901</v>
      </c>
      <c r="K10" s="6">
        <v>53825</v>
      </c>
      <c r="L10" s="6">
        <v>44717</v>
      </c>
      <c r="M10" s="6">
        <v>39070</v>
      </c>
      <c r="N10" s="6">
        <v>35577</v>
      </c>
      <c r="P10" s="9">
        <f t="shared" si="0"/>
        <v>-0.71257644673167508</v>
      </c>
    </row>
    <row r="11" spans="1:23" x14ac:dyDescent="0.25">
      <c r="A11" s="3"/>
      <c r="B11" s="8" t="s">
        <v>21</v>
      </c>
      <c r="C11" s="8" t="s">
        <v>20</v>
      </c>
      <c r="D11" s="6">
        <v>20706</v>
      </c>
      <c r="E11" s="6">
        <v>21443</v>
      </c>
      <c r="F11" s="6">
        <v>19745</v>
      </c>
      <c r="G11" s="6">
        <v>18920</v>
      </c>
      <c r="H11" s="6">
        <v>17875</v>
      </c>
      <c r="I11" s="6">
        <v>14116</v>
      </c>
      <c r="J11" s="6">
        <v>14583</v>
      </c>
      <c r="K11" s="6">
        <v>12185</v>
      </c>
      <c r="L11" s="6">
        <v>9500</v>
      </c>
      <c r="M11" s="6">
        <v>7917</v>
      </c>
      <c r="N11" s="6">
        <v>6970</v>
      </c>
      <c r="P11" s="9">
        <f t="shared" si="0"/>
        <v>-0.66338259441707725</v>
      </c>
    </row>
    <row r="12" spans="1:23" x14ac:dyDescent="0.25">
      <c r="A12" s="3" t="s">
        <v>28</v>
      </c>
      <c r="B12" s="8" t="s">
        <v>15</v>
      </c>
      <c r="C12" s="8" t="s">
        <v>35</v>
      </c>
      <c r="D12" s="6">
        <v>2596</v>
      </c>
      <c r="E12" s="6">
        <v>3334</v>
      </c>
      <c r="F12" s="6">
        <v>3852</v>
      </c>
      <c r="G12" s="6">
        <v>4210</v>
      </c>
      <c r="H12" s="6">
        <v>3978</v>
      </c>
      <c r="I12" s="6">
        <v>3935</v>
      </c>
      <c r="J12" s="6">
        <v>5100</v>
      </c>
      <c r="K12" s="6">
        <v>6133</v>
      </c>
      <c r="L12" s="6">
        <v>5164</v>
      </c>
      <c r="M12" s="6">
        <v>6167</v>
      </c>
      <c r="N12" s="6">
        <v>6397</v>
      </c>
      <c r="P12" s="9">
        <f t="shared" si="0"/>
        <v>1.4641756548536211</v>
      </c>
    </row>
    <row r="13" spans="1:23" x14ac:dyDescent="0.25">
      <c r="A13" s="3"/>
      <c r="B13" s="8" t="s">
        <v>15</v>
      </c>
      <c r="C13" s="8" t="s">
        <v>17</v>
      </c>
      <c r="D13" s="6">
        <v>7747</v>
      </c>
      <c r="E13" s="6">
        <v>8202</v>
      </c>
      <c r="F13" s="6">
        <v>8146</v>
      </c>
      <c r="G13" s="6">
        <v>11241</v>
      </c>
      <c r="H13" s="6">
        <v>13721</v>
      </c>
      <c r="I13" s="6">
        <v>14419</v>
      </c>
      <c r="J13" s="6">
        <v>12066</v>
      </c>
      <c r="K13" s="6">
        <v>14306</v>
      </c>
      <c r="L13" s="6">
        <v>16240</v>
      </c>
      <c r="M13" s="6">
        <v>17978</v>
      </c>
      <c r="N13" s="6">
        <v>20915</v>
      </c>
      <c r="P13" s="9">
        <f t="shared" si="0"/>
        <v>1.6997547437717828</v>
      </c>
    </row>
    <row r="14" spans="1:23" x14ac:dyDescent="0.25">
      <c r="A14" s="3"/>
      <c r="B14" s="8" t="s">
        <v>15</v>
      </c>
      <c r="C14" s="8" t="s">
        <v>18</v>
      </c>
      <c r="D14" s="6">
        <v>12730</v>
      </c>
      <c r="E14" s="6">
        <v>10445</v>
      </c>
      <c r="F14" s="6">
        <v>10355</v>
      </c>
      <c r="G14" s="6">
        <v>18035</v>
      </c>
      <c r="H14" s="6">
        <v>18330</v>
      </c>
      <c r="I14" s="6">
        <v>17574</v>
      </c>
      <c r="J14" s="6">
        <v>24088</v>
      </c>
      <c r="K14" s="6">
        <v>21523</v>
      </c>
      <c r="L14" s="6">
        <v>25976</v>
      </c>
      <c r="M14" s="6">
        <v>27943</v>
      </c>
      <c r="N14" s="6">
        <v>24538</v>
      </c>
      <c r="P14" s="9">
        <f t="shared" si="0"/>
        <v>0.92757266300078545</v>
      </c>
    </row>
    <row r="15" spans="1:23" x14ac:dyDescent="0.25">
      <c r="A15" s="3"/>
      <c r="B15" s="8" t="s">
        <v>15</v>
      </c>
      <c r="C15" s="8" t="s">
        <v>19</v>
      </c>
      <c r="D15" s="6">
        <v>24884</v>
      </c>
      <c r="E15" s="6">
        <v>24716</v>
      </c>
      <c r="F15" s="6">
        <v>24675</v>
      </c>
      <c r="G15" s="6">
        <v>29314</v>
      </c>
      <c r="H15" s="6">
        <v>30954</v>
      </c>
      <c r="I15" s="6">
        <v>30633</v>
      </c>
      <c r="J15" s="6">
        <v>37460</v>
      </c>
      <c r="K15" s="6">
        <v>40238</v>
      </c>
      <c r="L15" s="6">
        <v>43017</v>
      </c>
      <c r="M15" s="6">
        <v>47460</v>
      </c>
      <c r="N15" s="6">
        <v>47176</v>
      </c>
      <c r="P15" s="9">
        <f t="shared" si="0"/>
        <v>0.89583668220543311</v>
      </c>
    </row>
    <row r="16" spans="1:23" x14ac:dyDescent="0.25">
      <c r="A16" s="3"/>
      <c r="B16" s="8" t="s">
        <v>15</v>
      </c>
      <c r="C16" s="8" t="s">
        <v>20</v>
      </c>
      <c r="D16" s="6">
        <v>3570</v>
      </c>
      <c r="E16" s="6">
        <v>4718</v>
      </c>
      <c r="F16" s="6">
        <v>5338</v>
      </c>
      <c r="G16" s="6">
        <v>5639</v>
      </c>
      <c r="H16" s="6">
        <v>6413</v>
      </c>
      <c r="I16" s="6">
        <v>7457</v>
      </c>
      <c r="J16" s="6">
        <v>10315</v>
      </c>
      <c r="K16" s="6">
        <v>11991</v>
      </c>
      <c r="L16" s="6">
        <v>13775</v>
      </c>
      <c r="M16" s="6">
        <v>14900</v>
      </c>
      <c r="N16" s="6">
        <v>13473</v>
      </c>
      <c r="P16" s="9">
        <f t="shared" si="0"/>
        <v>2.7739495798319327</v>
      </c>
    </row>
    <row r="17" spans="1:16" x14ac:dyDescent="0.25">
      <c r="A17" s="3"/>
      <c r="B17" s="8" t="s">
        <v>21</v>
      </c>
      <c r="C17" s="8" t="s">
        <v>35</v>
      </c>
      <c r="D17" s="6">
        <v>8466</v>
      </c>
      <c r="E17" s="6">
        <v>8484</v>
      </c>
      <c r="F17" s="6">
        <v>8531</v>
      </c>
      <c r="G17" s="6">
        <v>7595</v>
      </c>
      <c r="H17" s="6">
        <v>7221</v>
      </c>
      <c r="I17" s="6">
        <v>7517</v>
      </c>
      <c r="J17" s="6">
        <v>5076</v>
      </c>
      <c r="K17" s="6">
        <v>4828</v>
      </c>
      <c r="L17" s="6">
        <v>5306</v>
      </c>
      <c r="M17" s="6">
        <v>5697</v>
      </c>
      <c r="N17" s="6">
        <v>5645</v>
      </c>
      <c r="P17" s="9">
        <f t="shared" si="0"/>
        <v>-0.33321521379636188</v>
      </c>
    </row>
    <row r="18" spans="1:16" x14ac:dyDescent="0.25">
      <c r="A18" s="3"/>
      <c r="B18" s="8" t="s">
        <v>21</v>
      </c>
      <c r="C18" s="8" t="s">
        <v>17</v>
      </c>
      <c r="D18" s="6">
        <v>9016</v>
      </c>
      <c r="E18" s="6">
        <v>9731</v>
      </c>
      <c r="F18" s="6">
        <v>8602</v>
      </c>
      <c r="G18" s="6">
        <v>7938</v>
      </c>
      <c r="H18" s="6">
        <v>7956</v>
      </c>
      <c r="I18" s="6">
        <v>7409</v>
      </c>
      <c r="J18" s="6">
        <v>5268</v>
      </c>
      <c r="K18" s="6">
        <v>5330</v>
      </c>
      <c r="L18" s="6">
        <v>7215</v>
      </c>
      <c r="M18" s="6">
        <v>6702</v>
      </c>
      <c r="N18" s="6">
        <v>6368</v>
      </c>
      <c r="P18" s="9">
        <f t="shared" si="0"/>
        <v>-0.29370008873114462</v>
      </c>
    </row>
    <row r="19" spans="1:16" x14ac:dyDescent="0.25">
      <c r="A19" s="3"/>
      <c r="B19" s="8" t="s">
        <v>21</v>
      </c>
      <c r="C19" s="8" t="s">
        <v>18</v>
      </c>
      <c r="D19" s="6">
        <v>13893</v>
      </c>
      <c r="E19" s="6">
        <v>13959</v>
      </c>
      <c r="F19" s="6">
        <v>11926</v>
      </c>
      <c r="G19" s="6">
        <v>12183</v>
      </c>
      <c r="H19" s="6">
        <v>13476</v>
      </c>
      <c r="I19" s="6">
        <v>11525</v>
      </c>
      <c r="J19" s="6">
        <v>9380</v>
      </c>
      <c r="K19" s="6">
        <v>8439</v>
      </c>
      <c r="L19" s="6">
        <v>9238</v>
      </c>
      <c r="M19" s="6">
        <v>9222</v>
      </c>
      <c r="N19" s="6">
        <v>9382</v>
      </c>
      <c r="P19" s="9">
        <f t="shared" si="0"/>
        <v>-0.32469589001655508</v>
      </c>
    </row>
    <row r="20" spans="1:16" x14ac:dyDescent="0.25">
      <c r="A20" s="3"/>
      <c r="B20" s="8" t="s">
        <v>21</v>
      </c>
      <c r="C20" s="8" t="s">
        <v>19</v>
      </c>
      <c r="D20" s="6">
        <v>53764</v>
      </c>
      <c r="E20" s="6">
        <v>51343</v>
      </c>
      <c r="F20" s="6">
        <v>49419</v>
      </c>
      <c r="G20" s="6">
        <v>46984</v>
      </c>
      <c r="H20" s="6">
        <v>47539</v>
      </c>
      <c r="I20" s="6">
        <v>46826</v>
      </c>
      <c r="J20" s="6">
        <v>39505</v>
      </c>
      <c r="K20" s="6">
        <v>40177</v>
      </c>
      <c r="L20" s="6">
        <v>41159</v>
      </c>
      <c r="M20" s="6">
        <v>40073</v>
      </c>
      <c r="N20" s="6">
        <v>38480</v>
      </c>
      <c r="P20" s="9">
        <f t="shared" si="0"/>
        <v>-0.28427944349378764</v>
      </c>
    </row>
    <row r="21" spans="1:16" x14ac:dyDescent="0.25">
      <c r="A21" s="3"/>
      <c r="B21" s="8" t="s">
        <v>21</v>
      </c>
      <c r="C21" s="8" t="s">
        <v>20</v>
      </c>
      <c r="D21" s="6">
        <v>6467</v>
      </c>
      <c r="E21" s="6">
        <v>6196</v>
      </c>
      <c r="F21" s="6">
        <v>6278</v>
      </c>
      <c r="G21" s="6">
        <v>6230</v>
      </c>
      <c r="H21" s="6">
        <v>5463</v>
      </c>
      <c r="I21" s="6">
        <v>5422</v>
      </c>
      <c r="J21" s="6">
        <v>9135</v>
      </c>
      <c r="K21" s="6">
        <v>8309</v>
      </c>
      <c r="L21" s="6">
        <v>7051</v>
      </c>
      <c r="M21" s="6">
        <v>6139</v>
      </c>
      <c r="N21" s="6">
        <v>6534</v>
      </c>
      <c r="P21" s="9">
        <f t="shared" si="0"/>
        <v>1.0360290706664665E-2</v>
      </c>
    </row>
    <row r="22" spans="1:16" x14ac:dyDescent="0.25">
      <c r="A22" s="3" t="s">
        <v>29</v>
      </c>
      <c r="B22" s="8" t="s">
        <v>15</v>
      </c>
      <c r="C22" s="8" t="s">
        <v>35</v>
      </c>
      <c r="D22" s="6">
        <v>3007</v>
      </c>
      <c r="E22" s="6">
        <v>3226</v>
      </c>
      <c r="F22" s="6">
        <v>4130</v>
      </c>
      <c r="G22" s="6">
        <v>3698</v>
      </c>
      <c r="H22" s="6">
        <v>4498</v>
      </c>
      <c r="I22" s="6">
        <v>5128</v>
      </c>
      <c r="J22" s="6">
        <v>7205</v>
      </c>
      <c r="K22" s="6">
        <v>8211</v>
      </c>
      <c r="L22" s="6">
        <v>6542</v>
      </c>
      <c r="M22" s="6">
        <v>6891</v>
      </c>
      <c r="N22" s="6">
        <v>6644</v>
      </c>
      <c r="P22" s="9">
        <f t="shared" si="0"/>
        <v>1.2095111406717658</v>
      </c>
    </row>
    <row r="23" spans="1:16" x14ac:dyDescent="0.25">
      <c r="A23" s="3"/>
      <c r="B23" s="8" t="s">
        <v>15</v>
      </c>
      <c r="C23" s="8" t="s">
        <v>17</v>
      </c>
      <c r="D23" s="6">
        <v>10942</v>
      </c>
      <c r="E23" s="6">
        <v>11282</v>
      </c>
      <c r="F23" s="6">
        <v>12901</v>
      </c>
      <c r="G23" s="6">
        <v>15845</v>
      </c>
      <c r="H23" s="6">
        <v>23244</v>
      </c>
      <c r="I23" s="6">
        <v>21349</v>
      </c>
      <c r="J23" s="6">
        <v>16951</v>
      </c>
      <c r="K23" s="6">
        <v>16997</v>
      </c>
      <c r="L23" s="6">
        <v>22867</v>
      </c>
      <c r="M23" s="6">
        <v>24001</v>
      </c>
      <c r="N23" s="6">
        <v>25543</v>
      </c>
      <c r="P23" s="9">
        <f t="shared" si="0"/>
        <v>1.334399561323341</v>
      </c>
    </row>
    <row r="24" spans="1:16" x14ac:dyDescent="0.25">
      <c r="A24" s="3"/>
      <c r="B24" s="8" t="s">
        <v>15</v>
      </c>
      <c r="C24" s="8" t="s">
        <v>18</v>
      </c>
      <c r="D24" s="6">
        <v>15884</v>
      </c>
      <c r="E24" s="6">
        <v>15503</v>
      </c>
      <c r="F24" s="6">
        <v>19111</v>
      </c>
      <c r="G24" s="6">
        <v>29991</v>
      </c>
      <c r="H24" s="6">
        <v>27547</v>
      </c>
      <c r="I24" s="6">
        <v>26044</v>
      </c>
      <c r="J24" s="6">
        <v>29268</v>
      </c>
      <c r="K24" s="6">
        <v>24987</v>
      </c>
      <c r="L24" s="6">
        <v>30135</v>
      </c>
      <c r="M24" s="6">
        <v>30359</v>
      </c>
      <c r="N24" s="6">
        <v>25569</v>
      </c>
      <c r="P24" s="9">
        <f t="shared" si="0"/>
        <v>0.60973306471921429</v>
      </c>
    </row>
    <row r="25" spans="1:16" x14ac:dyDescent="0.25">
      <c r="A25" s="3"/>
      <c r="B25" s="8" t="s">
        <v>15</v>
      </c>
      <c r="C25" s="8" t="s">
        <v>19</v>
      </c>
      <c r="D25" s="6">
        <v>27947</v>
      </c>
      <c r="E25" s="6">
        <v>29473</v>
      </c>
      <c r="F25" s="6">
        <v>32268</v>
      </c>
      <c r="G25" s="6">
        <v>42395</v>
      </c>
      <c r="H25" s="6">
        <v>44129</v>
      </c>
      <c r="I25" s="6">
        <v>44545</v>
      </c>
      <c r="J25" s="6">
        <v>50751</v>
      </c>
      <c r="K25" s="6">
        <v>51346</v>
      </c>
      <c r="L25" s="6">
        <v>50593</v>
      </c>
      <c r="M25" s="6">
        <v>51281</v>
      </c>
      <c r="N25" s="6">
        <v>48231</v>
      </c>
      <c r="P25" s="9">
        <f t="shared" si="0"/>
        <v>0.72580241170787563</v>
      </c>
    </row>
    <row r="26" spans="1:16" x14ac:dyDescent="0.25">
      <c r="A26" s="3"/>
      <c r="B26" s="8" t="s">
        <v>15</v>
      </c>
      <c r="C26" s="8" t="s">
        <v>20</v>
      </c>
      <c r="D26" s="6">
        <v>6565</v>
      </c>
      <c r="E26" s="6">
        <v>7187</v>
      </c>
      <c r="F26" s="6">
        <v>9053</v>
      </c>
      <c r="G26" s="6">
        <v>10148</v>
      </c>
      <c r="H26" s="6">
        <v>11199</v>
      </c>
      <c r="I26" s="6">
        <v>12816</v>
      </c>
      <c r="J26" s="6">
        <v>15091</v>
      </c>
      <c r="K26" s="6">
        <v>16837</v>
      </c>
      <c r="L26" s="6">
        <v>17418</v>
      </c>
      <c r="M26" s="6">
        <v>17809</v>
      </c>
      <c r="N26" s="6">
        <v>15359</v>
      </c>
      <c r="P26" s="9">
        <f t="shared" si="0"/>
        <v>1.3395277989337395</v>
      </c>
    </row>
    <row r="27" spans="1:16" x14ac:dyDescent="0.25">
      <c r="A27" s="3"/>
      <c r="B27" s="8" t="s">
        <v>21</v>
      </c>
      <c r="C27" s="8" t="s">
        <v>35</v>
      </c>
      <c r="D27" s="6">
        <v>7558</v>
      </c>
      <c r="E27" s="6">
        <v>8090</v>
      </c>
      <c r="F27" s="6">
        <v>7098</v>
      </c>
      <c r="G27" s="6">
        <v>7290</v>
      </c>
      <c r="H27" s="6">
        <v>6315</v>
      </c>
      <c r="I27" s="6">
        <v>5542</v>
      </c>
      <c r="J27" s="6">
        <v>4491</v>
      </c>
      <c r="K27" s="6">
        <v>4929</v>
      </c>
      <c r="L27" s="6">
        <v>4971</v>
      </c>
      <c r="M27" s="6">
        <v>5498</v>
      </c>
      <c r="N27" s="6">
        <v>4309</v>
      </c>
      <c r="P27" s="9">
        <f t="shared" si="0"/>
        <v>-0.42987562847314109</v>
      </c>
    </row>
    <row r="28" spans="1:16" x14ac:dyDescent="0.25">
      <c r="A28" s="3"/>
      <c r="B28" s="8" t="s">
        <v>21</v>
      </c>
      <c r="C28" s="8" t="s">
        <v>17</v>
      </c>
      <c r="D28" s="6">
        <v>13949</v>
      </c>
      <c r="E28" s="6">
        <v>14732</v>
      </c>
      <c r="F28" s="6">
        <v>13974</v>
      </c>
      <c r="G28" s="6">
        <v>13896</v>
      </c>
      <c r="H28" s="6">
        <v>13640</v>
      </c>
      <c r="I28" s="6">
        <v>12987</v>
      </c>
      <c r="J28" s="6">
        <v>9197</v>
      </c>
      <c r="K28" s="6">
        <v>8503</v>
      </c>
      <c r="L28" s="6">
        <v>12327</v>
      </c>
      <c r="M28" s="6">
        <v>11921</v>
      </c>
      <c r="N28" s="6">
        <v>10236</v>
      </c>
      <c r="P28" s="9">
        <f t="shared" si="0"/>
        <v>-0.26618395583912824</v>
      </c>
    </row>
    <row r="29" spans="1:16" x14ac:dyDescent="0.25">
      <c r="A29" s="3"/>
      <c r="B29" s="8" t="s">
        <v>21</v>
      </c>
      <c r="C29" s="8" t="s">
        <v>18</v>
      </c>
      <c r="D29" s="6">
        <v>18229</v>
      </c>
      <c r="E29" s="6">
        <v>17135</v>
      </c>
      <c r="F29" s="6">
        <v>17689</v>
      </c>
      <c r="G29" s="6">
        <v>17666</v>
      </c>
      <c r="H29" s="6">
        <v>17627</v>
      </c>
      <c r="I29" s="6">
        <v>16644</v>
      </c>
      <c r="J29" s="6">
        <v>13913</v>
      </c>
      <c r="K29" s="6">
        <v>11481</v>
      </c>
      <c r="L29" s="6">
        <v>11171</v>
      </c>
      <c r="M29" s="6">
        <v>11971</v>
      </c>
      <c r="N29" s="6">
        <v>11850</v>
      </c>
      <c r="P29" s="9">
        <f t="shared" si="0"/>
        <v>-0.34993691370892532</v>
      </c>
    </row>
    <row r="30" spans="1:16" x14ac:dyDescent="0.25">
      <c r="A30" s="3"/>
      <c r="B30" s="8" t="s">
        <v>21</v>
      </c>
      <c r="C30" s="8" t="s">
        <v>19</v>
      </c>
      <c r="D30" s="6">
        <v>58035</v>
      </c>
      <c r="E30" s="6">
        <v>54888</v>
      </c>
      <c r="F30" s="6">
        <v>53975</v>
      </c>
      <c r="G30" s="6">
        <v>53158</v>
      </c>
      <c r="H30" s="6">
        <v>52238</v>
      </c>
      <c r="I30" s="6">
        <v>51244</v>
      </c>
      <c r="J30" s="6">
        <v>45393</v>
      </c>
      <c r="K30" s="6">
        <v>46904</v>
      </c>
      <c r="L30" s="6">
        <v>43725</v>
      </c>
      <c r="M30" s="6">
        <v>41080</v>
      </c>
      <c r="N30" s="6">
        <v>38059</v>
      </c>
      <c r="P30" s="9">
        <f t="shared" si="0"/>
        <v>-0.34420608253640039</v>
      </c>
    </row>
    <row r="31" spans="1:16" x14ac:dyDescent="0.25">
      <c r="A31" s="3"/>
      <c r="B31" s="8" t="s">
        <v>21</v>
      </c>
      <c r="C31" s="8" t="s">
        <v>20</v>
      </c>
      <c r="D31" s="6">
        <v>9486</v>
      </c>
      <c r="E31" s="6">
        <v>9832</v>
      </c>
      <c r="F31" s="6">
        <v>8377</v>
      </c>
      <c r="G31" s="6">
        <v>7904</v>
      </c>
      <c r="H31" s="6">
        <v>7542</v>
      </c>
      <c r="I31" s="6">
        <v>7156</v>
      </c>
      <c r="J31" s="6">
        <v>11181</v>
      </c>
      <c r="K31" s="6">
        <v>11257</v>
      </c>
      <c r="L31" s="6">
        <v>9389</v>
      </c>
      <c r="M31" s="6">
        <v>8199</v>
      </c>
      <c r="N31" s="6">
        <v>8135</v>
      </c>
      <c r="P31" s="9">
        <f t="shared" si="0"/>
        <v>-0.14242040902382458</v>
      </c>
    </row>
    <row r="32" spans="1:16" x14ac:dyDescent="0.25">
      <c r="A32" s="3" t="s">
        <v>30</v>
      </c>
      <c r="B32" s="8" t="s">
        <v>15</v>
      </c>
      <c r="C32" s="8" t="s">
        <v>35</v>
      </c>
      <c r="D32" s="6">
        <v>49472</v>
      </c>
      <c r="E32" s="6">
        <v>60283</v>
      </c>
      <c r="F32" s="6">
        <v>62273</v>
      </c>
      <c r="G32" s="6">
        <v>66645</v>
      </c>
      <c r="H32" s="6">
        <v>69932</v>
      </c>
      <c r="I32" s="6">
        <v>77170</v>
      </c>
      <c r="J32" s="6">
        <v>94771</v>
      </c>
      <c r="K32" s="6">
        <v>125229</v>
      </c>
      <c r="L32" s="6">
        <v>114646</v>
      </c>
      <c r="M32" s="6">
        <v>93099</v>
      </c>
      <c r="N32" s="6">
        <v>80880</v>
      </c>
      <c r="P32" s="9">
        <f t="shared" si="0"/>
        <v>0.6348641655886158</v>
      </c>
    </row>
    <row r="33" spans="1:16" x14ac:dyDescent="0.25">
      <c r="A33" s="3"/>
      <c r="B33" s="8" t="s">
        <v>15</v>
      </c>
      <c r="C33" s="8" t="s">
        <v>17</v>
      </c>
      <c r="D33" s="6">
        <v>76899</v>
      </c>
      <c r="E33" s="6">
        <v>79330</v>
      </c>
      <c r="F33" s="6">
        <v>91868</v>
      </c>
      <c r="G33" s="6">
        <v>96561</v>
      </c>
      <c r="H33" s="6">
        <v>146808</v>
      </c>
      <c r="I33" s="6">
        <v>143525</v>
      </c>
      <c r="J33" s="6">
        <v>150292</v>
      </c>
      <c r="K33" s="6">
        <v>156673</v>
      </c>
      <c r="L33" s="6">
        <v>214751</v>
      </c>
      <c r="M33" s="6">
        <v>230224</v>
      </c>
      <c r="N33" s="6">
        <v>262680</v>
      </c>
      <c r="P33" s="9">
        <f t="shared" si="0"/>
        <v>2.4159091795732066</v>
      </c>
    </row>
    <row r="34" spans="1:16" x14ac:dyDescent="0.25">
      <c r="A34" s="3"/>
      <c r="B34" s="8" t="s">
        <v>15</v>
      </c>
      <c r="C34" s="8" t="s">
        <v>18</v>
      </c>
      <c r="D34" s="6">
        <v>141558</v>
      </c>
      <c r="E34" s="6">
        <v>134154</v>
      </c>
      <c r="F34" s="6">
        <v>170963</v>
      </c>
      <c r="G34" s="6">
        <v>199884</v>
      </c>
      <c r="H34" s="6">
        <v>252675</v>
      </c>
      <c r="I34" s="6">
        <v>286941</v>
      </c>
      <c r="J34" s="6">
        <v>276047</v>
      </c>
      <c r="K34" s="6">
        <v>247630</v>
      </c>
      <c r="L34" s="6">
        <v>373386</v>
      </c>
      <c r="M34" s="6">
        <v>378633</v>
      </c>
      <c r="N34" s="6">
        <v>373577</v>
      </c>
      <c r="P34" s="9">
        <f t="shared" si="0"/>
        <v>1.6390384153491855</v>
      </c>
    </row>
    <row r="35" spans="1:16" x14ac:dyDescent="0.25">
      <c r="A35" s="3"/>
      <c r="B35" s="8" t="s">
        <v>15</v>
      </c>
      <c r="C35" s="8" t="s">
        <v>19</v>
      </c>
      <c r="D35" s="6">
        <v>331169</v>
      </c>
      <c r="E35" s="6">
        <v>341339</v>
      </c>
      <c r="F35" s="6">
        <v>377094</v>
      </c>
      <c r="G35" s="6">
        <v>422736</v>
      </c>
      <c r="H35" s="6">
        <v>478102</v>
      </c>
      <c r="I35" s="6">
        <v>551860</v>
      </c>
      <c r="J35" s="6">
        <v>595194</v>
      </c>
      <c r="K35" s="6">
        <v>598340</v>
      </c>
      <c r="L35" s="6">
        <v>650100</v>
      </c>
      <c r="M35" s="6">
        <v>689514</v>
      </c>
      <c r="N35" s="6">
        <v>724291</v>
      </c>
      <c r="P35" s="9">
        <f t="shared" si="0"/>
        <v>1.1870736693349921</v>
      </c>
    </row>
    <row r="36" spans="1:16" x14ac:dyDescent="0.25">
      <c r="A36" s="3"/>
      <c r="B36" s="8" t="s">
        <v>15</v>
      </c>
      <c r="C36" s="8" t="s">
        <v>20</v>
      </c>
      <c r="D36" s="6">
        <v>41130</v>
      </c>
      <c r="E36" s="6">
        <v>41738</v>
      </c>
      <c r="F36" s="6">
        <v>47777</v>
      </c>
      <c r="G36" s="6">
        <v>54048</v>
      </c>
      <c r="H36" s="6">
        <v>49019</v>
      </c>
      <c r="I36" s="6">
        <v>68722</v>
      </c>
      <c r="J36" s="6">
        <v>93395</v>
      </c>
      <c r="K36" s="6">
        <v>100443</v>
      </c>
      <c r="L36" s="6">
        <v>102537</v>
      </c>
      <c r="M36" s="6">
        <v>114862</v>
      </c>
      <c r="N36" s="6">
        <v>119066</v>
      </c>
      <c r="P36" s="9">
        <f t="shared" si="0"/>
        <v>1.8948699246292242</v>
      </c>
    </row>
    <row r="37" spans="1:16" x14ac:dyDescent="0.25">
      <c r="A37" s="3"/>
      <c r="B37" s="8" t="s">
        <v>21</v>
      </c>
      <c r="C37" s="8" t="s">
        <v>35</v>
      </c>
      <c r="D37" s="6">
        <v>53096</v>
      </c>
      <c r="E37" s="6">
        <v>61154</v>
      </c>
      <c r="F37" s="6">
        <v>61565</v>
      </c>
      <c r="G37" s="6">
        <v>57971</v>
      </c>
      <c r="H37" s="6">
        <v>52478</v>
      </c>
      <c r="I37" s="6">
        <v>47239</v>
      </c>
      <c r="J37" s="6">
        <v>41262</v>
      </c>
      <c r="K37" s="6">
        <v>40198</v>
      </c>
      <c r="L37" s="6">
        <v>36961</v>
      </c>
      <c r="M37" s="6">
        <v>31020</v>
      </c>
      <c r="N37" s="6">
        <v>22577</v>
      </c>
      <c r="P37" s="9">
        <f t="shared" si="0"/>
        <v>-0.57478906132288687</v>
      </c>
    </row>
    <row r="38" spans="1:16" x14ac:dyDescent="0.25">
      <c r="A38" s="3"/>
      <c r="B38" s="8" t="s">
        <v>21</v>
      </c>
      <c r="C38" s="8" t="s">
        <v>17</v>
      </c>
      <c r="D38" s="6">
        <v>50116</v>
      </c>
      <c r="E38" s="6">
        <v>50332</v>
      </c>
      <c r="F38" s="6">
        <v>55031</v>
      </c>
      <c r="G38" s="6">
        <v>47789</v>
      </c>
      <c r="H38" s="6">
        <v>49894</v>
      </c>
      <c r="I38" s="6">
        <v>51889</v>
      </c>
      <c r="J38" s="6">
        <v>43068</v>
      </c>
      <c r="K38" s="6">
        <v>37345</v>
      </c>
      <c r="L38" s="6">
        <v>32964</v>
      </c>
      <c r="M38" s="6">
        <v>31613</v>
      </c>
      <c r="N38" s="6">
        <v>29063</v>
      </c>
      <c r="P38" s="9">
        <f t="shared" si="0"/>
        <v>-0.42008540186766696</v>
      </c>
    </row>
    <row r="39" spans="1:16" x14ac:dyDescent="0.25">
      <c r="A39" s="3"/>
      <c r="B39" s="8" t="s">
        <v>21</v>
      </c>
      <c r="C39" s="8" t="s">
        <v>18</v>
      </c>
      <c r="D39" s="6">
        <v>101930</v>
      </c>
      <c r="E39" s="6">
        <v>90046</v>
      </c>
      <c r="F39" s="6">
        <v>88627</v>
      </c>
      <c r="G39" s="6">
        <v>89505</v>
      </c>
      <c r="H39" s="6">
        <v>92237</v>
      </c>
      <c r="I39" s="6">
        <v>90744</v>
      </c>
      <c r="J39" s="6">
        <v>62224</v>
      </c>
      <c r="K39" s="6">
        <v>36657</v>
      </c>
      <c r="L39" s="6">
        <v>47031</v>
      </c>
      <c r="M39" s="6">
        <v>51315</v>
      </c>
      <c r="N39" s="6">
        <v>47803</v>
      </c>
      <c r="P39" s="9">
        <f t="shared" si="0"/>
        <v>-0.53102128911998436</v>
      </c>
    </row>
    <row r="40" spans="1:16" x14ac:dyDescent="0.25">
      <c r="A40" s="3"/>
      <c r="B40" s="8" t="s">
        <v>21</v>
      </c>
      <c r="C40" s="8" t="s">
        <v>19</v>
      </c>
      <c r="D40" s="6">
        <v>311925</v>
      </c>
      <c r="E40" s="6">
        <v>307081</v>
      </c>
      <c r="F40" s="6">
        <v>294106</v>
      </c>
      <c r="G40" s="6">
        <v>279858</v>
      </c>
      <c r="H40" s="6">
        <v>269409</v>
      </c>
      <c r="I40" s="6">
        <v>263883</v>
      </c>
      <c r="J40" s="6">
        <v>221120</v>
      </c>
      <c r="K40" s="6">
        <v>190857</v>
      </c>
      <c r="L40" s="6">
        <v>171700</v>
      </c>
      <c r="M40" s="6">
        <v>162813</v>
      </c>
      <c r="N40" s="6">
        <v>154434</v>
      </c>
      <c r="P40" s="9">
        <f t="shared" si="0"/>
        <v>-0.50490021639817262</v>
      </c>
    </row>
    <row r="41" spans="1:16" x14ac:dyDescent="0.25">
      <c r="A41" s="3"/>
      <c r="B41" s="8" t="s">
        <v>21</v>
      </c>
      <c r="C41" s="8" t="s">
        <v>20</v>
      </c>
      <c r="D41" s="6">
        <v>37678</v>
      </c>
      <c r="E41" s="6">
        <v>38791</v>
      </c>
      <c r="F41" s="6">
        <v>33697</v>
      </c>
      <c r="G41" s="6">
        <v>35450</v>
      </c>
      <c r="H41" s="6">
        <v>35207</v>
      </c>
      <c r="I41" s="6">
        <v>32706</v>
      </c>
      <c r="J41" s="6">
        <v>39198</v>
      </c>
      <c r="K41" s="6">
        <v>34641</v>
      </c>
      <c r="L41" s="6">
        <v>28172</v>
      </c>
      <c r="M41" s="6">
        <v>23695</v>
      </c>
      <c r="N41" s="6">
        <v>22186</v>
      </c>
      <c r="P41" s="9">
        <f t="shared" si="0"/>
        <v>-0.41116832103614842</v>
      </c>
    </row>
    <row r="42" spans="1:16" x14ac:dyDescent="0.25">
      <c r="A42" s="2" t="s">
        <v>36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</sheetData>
  <mergeCells count="5">
    <mergeCell ref="A2:A11"/>
    <mergeCell ref="A12:A21"/>
    <mergeCell ref="A22:A31"/>
    <mergeCell ref="A32:A41"/>
    <mergeCell ref="A42:N4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/>
  </sheetViews>
  <sheetFormatPr defaultColWidth="8.7109375" defaultRowHeight="15" x14ac:dyDescent="0.25"/>
  <sheetData>
    <row r="1" spans="1:2" ht="45" x14ac:dyDescent="0.25">
      <c r="A1" s="11" t="s">
        <v>37</v>
      </c>
      <c r="B1" s="11" t="s">
        <v>38</v>
      </c>
    </row>
    <row r="2" spans="1:2" x14ac:dyDescent="0.25">
      <c r="A2" s="12" t="s">
        <v>39</v>
      </c>
      <c r="B2" s="12">
        <v>1000</v>
      </c>
    </row>
    <row r="3" spans="1:2" ht="28.5" x14ac:dyDescent="0.25">
      <c r="A3" s="12" t="s">
        <v>40</v>
      </c>
      <c r="B3" s="12">
        <v>500</v>
      </c>
    </row>
    <row r="4" spans="1:2" ht="28.5" x14ac:dyDescent="0.25">
      <c r="A4" s="12" t="s">
        <v>41</v>
      </c>
      <c r="B4" s="12">
        <v>200</v>
      </c>
    </row>
    <row r="5" spans="1:2" ht="28.5" x14ac:dyDescent="0.25">
      <c r="A5" s="12" t="s">
        <v>42</v>
      </c>
      <c r="B5" s="12">
        <v>100</v>
      </c>
    </row>
    <row r="6" spans="1:2" ht="28.5" x14ac:dyDescent="0.25">
      <c r="A6" s="12" t="s">
        <v>43</v>
      </c>
      <c r="B6" s="12">
        <v>50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1</cp:revision>
  <dcterms:created xsi:type="dcterms:W3CDTF">2026-06-13T15:19:19Z</dcterms:created>
  <dcterms:modified xsi:type="dcterms:W3CDTF">2026-07-05T13:02:05Z</dcterms:modified>
  <dc:language>pt-BR</dc:language>
</cp:coreProperties>
</file>