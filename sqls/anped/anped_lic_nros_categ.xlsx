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dado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</font>
    <font>
      <name val="Times New Roman"/>
      <sz val="10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2" fillId="0" borderId="1" applyAlignment="1" pivotButton="0" quotePrefix="0" xfId="0">
      <alignment horizontal="center" vertical="top"/>
    </xf>
    <xf numFmtId="0" fontId="2" fillId="0" borderId="0" pivotButton="0" quotePrefix="0" xfId="0"/>
    <xf numFmtId="3" fontId="2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charts/chart1.xml><?xml version="1.0" encoding="utf-8"?>
<chartSpace xmlns="http://schemas.openxmlformats.org/drawingml/2006/chart">
  <style val="10"/>
  <chart>
    <plotArea>
      <lineChart>
        <grouping val="standard"/>
        <ser>
          <idx val="0"/>
          <order val="0"/>
          <tx>
            <v>Especial | concluintes</v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'dados'!$B$1:$L$1</f>
            </numRef>
          </cat>
          <val>
            <numRef>
              <f>'dados'!$B$2:$L$2</f>
            </numRef>
          </val>
        </ser>
        <ser>
          <idx val="1"/>
          <order val="1"/>
          <tx>
            <v>Especial | evadidos</v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'dados'!$B$1:$L$1</f>
            </numRef>
          </cat>
          <val>
            <numRef>
              <f>'dados'!$B$3:$L$3</f>
            </numRef>
          </val>
        </ser>
        <ser>
          <idx val="2"/>
          <order val="2"/>
          <tx>
            <v>Especial | ingressos</v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'dados'!$B$1:$L$1</f>
            </numRef>
          </cat>
          <val>
            <numRef>
              <f>'dados'!$B$4:$L$4</f>
            </numRef>
          </val>
        </ser>
        <ser>
          <idx val="3"/>
          <order val="3"/>
          <tx>
            <v>Especial | inscritos</v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'dados'!$B$1:$L$1</f>
            </numRef>
          </cat>
          <val>
            <numRef>
              <f>'dados'!$B$5:$L$5</f>
            </numRef>
          </val>
        </ser>
        <ser>
          <idx val="4"/>
          <order val="4"/>
          <tx>
            <v>Especial | matriculados</v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'dados'!$B$1:$L$1</f>
            </numRef>
          </cat>
          <val>
            <numRef>
              <f>'dados'!$B$6:$L$6</f>
            </numRef>
          </val>
        </ser>
        <ser>
          <idx val="5"/>
          <order val="5"/>
          <tx>
            <v>Especial | trancados</v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'dados'!$B$1:$L$1</f>
            </numRef>
          </cat>
          <val>
            <numRef>
              <f>'dados'!$B$7:$L$7</f>
            </numRef>
          </val>
        </ser>
        <ser>
          <idx val="6"/>
          <order val="6"/>
          <tx>
            <v>Especial | vagas</v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'dados'!$B$1:$L$1</f>
            </numRef>
          </cat>
          <val>
            <numRef>
              <f>'dados'!$B$8:$L$8</f>
            </numRef>
          </val>
        </ser>
        <ser>
          <idx val="7"/>
          <order val="7"/>
          <tx>
            <v>Estadual | concluintes</v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'dados'!$B$1:$L$1</f>
            </numRef>
          </cat>
          <val>
            <numRef>
              <f>'dados'!$B$9:$L$9</f>
            </numRef>
          </val>
        </ser>
        <ser>
          <idx val="8"/>
          <order val="8"/>
          <tx>
            <v>Estadual | evadidos</v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'dados'!$B$1:$L$1</f>
            </numRef>
          </cat>
          <val>
            <numRef>
              <f>'dados'!$B$10:$L$10</f>
            </numRef>
          </val>
        </ser>
        <ser>
          <idx val="9"/>
          <order val="9"/>
          <tx>
            <v>Estadual | ingressos</v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'dados'!$B$1:$L$1</f>
            </numRef>
          </cat>
          <val>
            <numRef>
              <f>'dados'!$B$11:$L$11</f>
            </numRef>
          </val>
        </ser>
        <ser>
          <idx val="10"/>
          <order val="10"/>
          <tx>
            <v>Estadual | inscritos</v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'dados'!$B$1:$L$1</f>
            </numRef>
          </cat>
          <val>
            <numRef>
              <f>'dados'!$B$12:$L$12</f>
            </numRef>
          </val>
        </ser>
        <ser>
          <idx val="11"/>
          <order val="11"/>
          <tx>
            <v>Estadual | matriculados</v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'dados'!$B$1:$L$1</f>
            </numRef>
          </cat>
          <val>
            <numRef>
              <f>'dados'!$B$13:$L$13</f>
            </numRef>
          </val>
        </ser>
        <ser>
          <idx val="12"/>
          <order val="12"/>
          <tx>
            <v>Estadual | trancados</v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'dados'!$B$1:$L$1</f>
            </numRef>
          </cat>
          <val>
            <numRef>
              <f>'dados'!$B$14:$L$14</f>
            </numRef>
          </val>
        </ser>
        <ser>
          <idx val="13"/>
          <order val="13"/>
          <tx>
            <v>Estadual | vagas</v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'dados'!$B$1:$L$1</f>
            </numRef>
          </cat>
          <val>
            <numRef>
              <f>'dados'!$B$15:$L$15</f>
            </numRef>
          </val>
        </ser>
        <ser>
          <idx val="14"/>
          <order val="14"/>
          <tx>
            <v>Federal | concluintes</v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'dados'!$B$1:$L$1</f>
            </numRef>
          </cat>
          <val>
            <numRef>
              <f>'dados'!$B$16:$L$16</f>
            </numRef>
          </val>
        </ser>
        <ser>
          <idx val="15"/>
          <order val="15"/>
          <tx>
            <v>Federal | evadidos</v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'dados'!$B$1:$L$1</f>
            </numRef>
          </cat>
          <val>
            <numRef>
              <f>'dados'!$B$17:$L$17</f>
            </numRef>
          </val>
        </ser>
        <ser>
          <idx val="16"/>
          <order val="16"/>
          <tx>
            <v>Federal | ingressos</v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'dados'!$B$1:$L$1</f>
            </numRef>
          </cat>
          <val>
            <numRef>
              <f>'dados'!$B$18:$L$18</f>
            </numRef>
          </val>
        </ser>
        <ser>
          <idx val="17"/>
          <order val="17"/>
          <tx>
            <v>Federal | inscritos</v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'dados'!$B$1:$L$1</f>
            </numRef>
          </cat>
          <val>
            <numRef>
              <f>'dados'!$B$19:$L$19</f>
            </numRef>
          </val>
        </ser>
        <ser>
          <idx val="18"/>
          <order val="18"/>
          <tx>
            <v>Federal | matriculados</v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'dados'!$B$1:$L$1</f>
            </numRef>
          </cat>
          <val>
            <numRef>
              <f>'dados'!$B$20:$L$20</f>
            </numRef>
          </val>
        </ser>
        <ser>
          <idx val="19"/>
          <order val="19"/>
          <tx>
            <v>Federal | trancados</v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'dados'!$B$1:$L$1</f>
            </numRef>
          </cat>
          <val>
            <numRef>
              <f>'dados'!$B$21:$L$21</f>
            </numRef>
          </val>
        </ser>
        <axId val="10"/>
        <axId val="100"/>
      </lineChart>
      <catAx>
        <axId val="10"/>
        <scaling>
          <orientation val="minMax"/>
        </scaling>
        <delete val="0"/>
        <axPos val="l"/>
        <majorTickMark val="none"/>
        <minorTickMark val="none"/>
        <tickLblPos val="low"/>
        <crossAx val="100"/>
        <lblOffset val="100"/>
      </catAx>
      <valAx>
        <axId val="100"/>
        <scaling>
          <orientation val="minMax"/>
        </scaling>
        <delete val="0"/>
        <axPos val="l"/>
        <majorGridlines/>
        <numFmt formatCode="#,##0" sourceLinked="0"/>
        <majorTickMark val="none"/>
        <minorTickMark val="none"/>
        <crossAx val="10"/>
      </valAx>
    </plotArea>
    <legend>
      <legendPos val="b"/>
      <overlay val="0"/>
    </legend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/></Relationships>
</file>

<file path=xl/drawings/drawing1.xml><?xml version="1.0" encoding="utf-8"?>
<wsDr xmlns="http://schemas.openxmlformats.org/drawingml/2006/spreadsheetDrawing">
  <oneCellAnchor>
    <from>
      <col>1</col>
      <colOff>0</colOff>
      <row>45</row>
      <rowOff>0</rowOff>
    </from>
    <ext cx="7920000" cy="39600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43"/>
  <sheetViews>
    <sheetView workbookViewId="0">
      <selection activeCell="A1" sqref="A1"/>
    </sheetView>
  </sheetViews>
  <sheetFormatPr baseColWidth="8" defaultRowHeight="15"/>
  <cols>
    <col width="36" customWidth="1" min="1" max="1"/>
    <col width="10" customWidth="1" min="2" max="2"/>
    <col width="10" customWidth="1" min="3" max="3"/>
    <col width="10" customWidth="1" min="4" max="4"/>
    <col width="10" customWidth="1" min="5" max="5"/>
    <col width="10" customWidth="1" min="6" max="6"/>
    <col width="10" customWidth="1" min="7" max="7"/>
    <col width="10" customWidth="1" min="8" max="8"/>
    <col width="10" customWidth="1" min="9" max="9"/>
    <col width="10" customWidth="1" min="10" max="10"/>
    <col width="10" customWidth="1" min="11" max="11"/>
    <col width="10" customWidth="1" min="12" max="12"/>
  </cols>
  <sheetData>
    <row r="1">
      <c r="A1" s="1" t="inlineStr">
        <is>
          <t>legenda</t>
        </is>
      </c>
      <c r="B1" s="1" t="inlineStr">
        <is>
          <t>2014</t>
        </is>
      </c>
      <c r="C1" s="1" t="inlineStr">
        <is>
          <t>2015</t>
        </is>
      </c>
      <c r="D1" s="1" t="inlineStr">
        <is>
          <t>2016</t>
        </is>
      </c>
      <c r="E1" s="1" t="inlineStr">
        <is>
          <t>2017</t>
        </is>
      </c>
      <c r="F1" s="1" t="inlineStr">
        <is>
          <t>2018</t>
        </is>
      </c>
      <c r="G1" s="1" t="inlineStr">
        <is>
          <t>2019</t>
        </is>
      </c>
      <c r="H1" s="1" t="inlineStr">
        <is>
          <t>2020</t>
        </is>
      </c>
      <c r="I1" s="1" t="inlineStr">
        <is>
          <t>2021</t>
        </is>
      </c>
      <c r="J1" s="1" t="inlineStr">
        <is>
          <t>2022</t>
        </is>
      </c>
      <c r="K1" s="1" t="inlineStr">
        <is>
          <t>2023</t>
        </is>
      </c>
      <c r="L1" s="1" t="inlineStr">
        <is>
          <t>2024</t>
        </is>
      </c>
    </row>
    <row r="2">
      <c r="A2" s="2" t="inlineStr">
        <is>
          <t>Especial | concluintes</t>
        </is>
      </c>
      <c r="B2" s="3" t="n">
        <v>2609</v>
      </c>
      <c r="C2" s="3" t="n">
        <v>1596</v>
      </c>
      <c r="D2" s="3" t="n">
        <v>1797</v>
      </c>
      <c r="E2" s="3" t="n">
        <v>530</v>
      </c>
      <c r="F2" s="3" t="n">
        <v>1501</v>
      </c>
      <c r="G2" s="3" t="n">
        <v>1404</v>
      </c>
      <c r="H2" s="3" t="n">
        <v>1365</v>
      </c>
      <c r="I2" s="3" t="n">
        <v>1133</v>
      </c>
      <c r="J2" s="3" t="n">
        <v>884</v>
      </c>
      <c r="K2" s="3" t="n">
        <v>1294</v>
      </c>
      <c r="L2" s="3" t="n">
        <v>804</v>
      </c>
    </row>
    <row r="3">
      <c r="A3" s="2" t="inlineStr">
        <is>
          <t>Especial | evadidos</t>
        </is>
      </c>
      <c r="B3" s="3" t="n">
        <v>3474</v>
      </c>
      <c r="C3" s="3" t="n">
        <v>2044</v>
      </c>
      <c r="D3" s="3" t="n">
        <v>2686</v>
      </c>
      <c r="E3" s="3" t="n">
        <v>452</v>
      </c>
      <c r="F3" s="3" t="n">
        <v>1282</v>
      </c>
      <c r="G3" s="3" t="n">
        <v>1186</v>
      </c>
      <c r="H3" s="3" t="n">
        <v>1211</v>
      </c>
      <c r="I3" s="3" t="n">
        <v>623</v>
      </c>
      <c r="J3" s="3" t="n">
        <v>666</v>
      </c>
      <c r="K3" s="3" t="n">
        <v>1077</v>
      </c>
      <c r="L3" s="3" t="n">
        <v>1168</v>
      </c>
    </row>
    <row r="4">
      <c r="A4" s="2" t="inlineStr">
        <is>
          <t>Especial | ingressos</t>
        </is>
      </c>
      <c r="B4" s="3" t="n">
        <v>5498</v>
      </c>
      <c r="C4" s="3" t="n">
        <v>3333</v>
      </c>
      <c r="D4" s="3" t="n">
        <v>3468</v>
      </c>
      <c r="E4" s="3" t="n">
        <v>690</v>
      </c>
      <c r="F4" s="3" t="n">
        <v>1794</v>
      </c>
      <c r="G4" s="3" t="n">
        <v>1816</v>
      </c>
      <c r="H4" s="3" t="n">
        <v>1447</v>
      </c>
      <c r="I4" s="3" t="n">
        <v>738</v>
      </c>
      <c r="J4" s="3" t="n">
        <v>1329</v>
      </c>
      <c r="K4" s="3" t="n">
        <v>1778</v>
      </c>
      <c r="L4" s="3" t="n">
        <v>2075</v>
      </c>
    </row>
    <row r="5">
      <c r="A5" s="2" t="inlineStr">
        <is>
          <t>Especial | inscritos</t>
        </is>
      </c>
      <c r="B5" s="3" t="n">
        <v>10907</v>
      </c>
      <c r="C5" s="3" t="n">
        <v>6808</v>
      </c>
      <c r="D5" s="3" t="n">
        <v>7571</v>
      </c>
      <c r="E5" s="3" t="n">
        <v>1250</v>
      </c>
      <c r="F5" s="3" t="n">
        <v>4696</v>
      </c>
      <c r="G5" s="3" t="n">
        <v>4317</v>
      </c>
      <c r="H5" s="3" t="n">
        <v>3052</v>
      </c>
      <c r="I5" s="3" t="n">
        <v>2439</v>
      </c>
      <c r="J5" s="3" t="n">
        <v>2593</v>
      </c>
      <c r="K5" s="3" t="n">
        <v>8889</v>
      </c>
      <c r="L5" s="3" t="n">
        <v>9113</v>
      </c>
    </row>
    <row r="6">
      <c r="A6" s="2" t="inlineStr">
        <is>
          <t>Especial | matriculados</t>
        </is>
      </c>
      <c r="B6" s="3" t="n">
        <v>15048</v>
      </c>
      <c r="C6" s="3" t="n">
        <v>9302</v>
      </c>
      <c r="D6" s="3" t="n">
        <v>8986</v>
      </c>
      <c r="E6" s="3" t="n">
        <v>2477</v>
      </c>
      <c r="F6" s="3" t="n">
        <v>6379</v>
      </c>
      <c r="G6" s="3" t="n">
        <v>6007</v>
      </c>
      <c r="H6" s="3" t="n">
        <v>4996</v>
      </c>
      <c r="I6" s="3" t="n">
        <v>3888</v>
      </c>
      <c r="J6" s="3" t="n">
        <v>3797</v>
      </c>
      <c r="K6" s="3" t="n">
        <v>5318</v>
      </c>
      <c r="L6" s="3" t="n">
        <v>5224</v>
      </c>
    </row>
    <row r="7">
      <c r="A7" s="2" t="inlineStr">
        <is>
          <t>Especial | trancados</t>
        </is>
      </c>
      <c r="B7" s="3" t="n">
        <v>1137</v>
      </c>
      <c r="C7" s="3" t="n">
        <v>1003</v>
      </c>
      <c r="D7" s="3" t="n">
        <v>958</v>
      </c>
      <c r="E7" s="3" t="n">
        <v>173</v>
      </c>
      <c r="F7" s="3" t="n">
        <v>413</v>
      </c>
      <c r="G7" s="3" t="n">
        <v>304</v>
      </c>
      <c r="H7" s="3" t="n">
        <v>607</v>
      </c>
      <c r="I7" s="3" t="n">
        <v>332</v>
      </c>
      <c r="J7" s="3" t="n">
        <v>215</v>
      </c>
      <c r="K7" s="3" t="n">
        <v>329</v>
      </c>
      <c r="L7" s="3" t="n">
        <v>472</v>
      </c>
    </row>
    <row r="8">
      <c r="A8" s="2" t="inlineStr">
        <is>
          <t>Especial | vagas</t>
        </is>
      </c>
      <c r="B8" s="3" t="n">
        <v>13735</v>
      </c>
      <c r="C8" s="3" t="n">
        <v>10829</v>
      </c>
      <c r="D8" s="3" t="n">
        <v>13617</v>
      </c>
      <c r="E8" s="3" t="n">
        <v>1665</v>
      </c>
      <c r="F8" s="3" t="n">
        <v>6737</v>
      </c>
      <c r="G8" s="3" t="n">
        <v>7091</v>
      </c>
      <c r="H8" s="3" t="n">
        <v>6389</v>
      </c>
      <c r="I8" s="3" t="n">
        <v>6288</v>
      </c>
      <c r="J8" s="3" t="n">
        <v>6837</v>
      </c>
      <c r="K8" s="3" t="n">
        <v>11969</v>
      </c>
      <c r="L8" s="3" t="n">
        <v>32120</v>
      </c>
    </row>
    <row r="9">
      <c r="A9" s="2" t="inlineStr">
        <is>
          <t>Estadual | concluintes</t>
        </is>
      </c>
      <c r="B9" s="3" t="n">
        <v>40276</v>
      </c>
      <c r="C9" s="3" t="n">
        <v>34930</v>
      </c>
      <c r="D9" s="3" t="n">
        <v>31518</v>
      </c>
      <c r="E9" s="3" t="n">
        <v>31238</v>
      </c>
      <c r="F9" s="3" t="n">
        <v>30133</v>
      </c>
      <c r="G9" s="3" t="n">
        <v>30400</v>
      </c>
      <c r="H9" s="3" t="n">
        <v>21040</v>
      </c>
      <c r="I9" s="3" t="n">
        <v>25275</v>
      </c>
      <c r="J9" s="3" t="n">
        <v>28243</v>
      </c>
      <c r="K9" s="3" t="n">
        <v>30133</v>
      </c>
      <c r="L9" s="3" t="n">
        <v>26726</v>
      </c>
    </row>
    <row r="10">
      <c r="A10" s="2" t="inlineStr">
        <is>
          <t>Estadual | evadidos</t>
        </is>
      </c>
      <c r="B10" s="3" t="n">
        <v>33851</v>
      </c>
      <c r="C10" s="3" t="n">
        <v>33555</v>
      </c>
      <c r="D10" s="3" t="n">
        <v>31708</v>
      </c>
      <c r="E10" s="3" t="n">
        <v>38095</v>
      </c>
      <c r="F10" s="3" t="n">
        <v>39302</v>
      </c>
      <c r="G10" s="3" t="n">
        <v>34223</v>
      </c>
      <c r="H10" s="3" t="n">
        <v>30121</v>
      </c>
      <c r="I10" s="3" t="n">
        <v>30541</v>
      </c>
      <c r="J10" s="3" t="n">
        <v>33585</v>
      </c>
      <c r="K10" s="3" t="n">
        <v>46369</v>
      </c>
      <c r="L10" s="3" t="n">
        <v>37803</v>
      </c>
    </row>
    <row r="11">
      <c r="A11" s="2" t="inlineStr">
        <is>
          <t>Estadual | ingressos</t>
        </is>
      </c>
      <c r="B11" s="3" t="n">
        <v>52124</v>
      </c>
      <c r="C11" s="3" t="n">
        <v>58201</v>
      </c>
      <c r="D11" s="3" t="n">
        <v>48094</v>
      </c>
      <c r="E11" s="3" t="n">
        <v>65516</v>
      </c>
      <c r="F11" s="3" t="n">
        <v>69028</v>
      </c>
      <c r="G11" s="3" t="n">
        <v>59450</v>
      </c>
      <c r="H11" s="3" t="n">
        <v>54361</v>
      </c>
      <c r="I11" s="3" t="n">
        <v>42323</v>
      </c>
      <c r="J11" s="3" t="n">
        <v>49037</v>
      </c>
      <c r="K11" s="3" t="n">
        <v>56902</v>
      </c>
      <c r="L11" s="3" t="n">
        <v>56709</v>
      </c>
    </row>
    <row r="12">
      <c r="A12" s="2" t="inlineStr">
        <is>
          <t>Estadual | inscritos</t>
        </is>
      </c>
      <c r="B12" s="3" t="n">
        <v>289003</v>
      </c>
      <c r="C12" s="3" t="n">
        <v>393989</v>
      </c>
      <c r="D12" s="3" t="n">
        <v>405231</v>
      </c>
      <c r="E12" s="3" t="n">
        <v>489213</v>
      </c>
      <c r="F12" s="3" t="n">
        <v>421331</v>
      </c>
      <c r="G12" s="3" t="n">
        <v>378416</v>
      </c>
      <c r="H12" s="3" t="n">
        <v>399899</v>
      </c>
      <c r="I12" s="3" t="n">
        <v>219049</v>
      </c>
      <c r="J12" s="3" t="n">
        <v>223735</v>
      </c>
      <c r="K12" s="3" t="n">
        <v>236358</v>
      </c>
      <c r="L12" s="3" t="n">
        <v>251729</v>
      </c>
    </row>
    <row r="13">
      <c r="A13" s="2" t="inlineStr">
        <is>
          <t>Estadual | matriculados</t>
        </is>
      </c>
      <c r="B13" s="3" t="n">
        <v>240067</v>
      </c>
      <c r="C13" s="3" t="n">
        <v>233222</v>
      </c>
      <c r="D13" s="3" t="n">
        <v>229781</v>
      </c>
      <c r="E13" s="3" t="n">
        <v>234153</v>
      </c>
      <c r="F13" s="3" t="n">
        <v>241222</v>
      </c>
      <c r="G13" s="3" t="n">
        <v>240392</v>
      </c>
      <c r="H13" s="3" t="n">
        <v>221278</v>
      </c>
      <c r="I13" s="3" t="n">
        <v>223772</v>
      </c>
      <c r="J13" s="3" t="n">
        <v>226804</v>
      </c>
      <c r="K13" s="3" t="n">
        <v>220173</v>
      </c>
      <c r="L13" s="3" t="n">
        <v>215952</v>
      </c>
    </row>
    <row r="14">
      <c r="A14" s="2" t="inlineStr">
        <is>
          <t>Estadual | trancados</t>
        </is>
      </c>
      <c r="B14" s="3" t="n">
        <v>15640</v>
      </c>
      <c r="C14" s="3" t="n">
        <v>17365</v>
      </c>
      <c r="D14" s="3" t="n">
        <v>16267</v>
      </c>
      <c r="E14" s="3" t="n">
        <v>18139</v>
      </c>
      <c r="F14" s="3" t="n">
        <v>21371</v>
      </c>
      <c r="G14" s="3" t="n">
        <v>25436</v>
      </c>
      <c r="H14" s="3" t="n">
        <v>32622</v>
      </c>
      <c r="I14" s="3" t="n">
        <v>38928</v>
      </c>
      <c r="J14" s="3" t="n">
        <v>31891</v>
      </c>
      <c r="K14" s="3" t="n">
        <v>26957</v>
      </c>
      <c r="L14" s="3" t="n">
        <v>35310</v>
      </c>
    </row>
    <row r="15">
      <c r="A15" s="2" t="inlineStr">
        <is>
          <t>Estadual | vagas</t>
        </is>
      </c>
      <c r="B15" s="3" t="n">
        <v>82009</v>
      </c>
      <c r="C15" s="3" t="n">
        <v>88698</v>
      </c>
      <c r="D15" s="3" t="n">
        <v>75284</v>
      </c>
      <c r="E15" s="3" t="n">
        <v>94406</v>
      </c>
      <c r="F15" s="3" t="n">
        <v>104258</v>
      </c>
      <c r="G15" s="3" t="n">
        <v>90746</v>
      </c>
      <c r="H15" s="3" t="n">
        <v>91618</v>
      </c>
      <c r="I15" s="3" t="n">
        <v>79230</v>
      </c>
      <c r="J15" s="3" t="n">
        <v>91850</v>
      </c>
      <c r="K15" s="3" t="n">
        <v>92388</v>
      </c>
      <c r="L15" s="3" t="n">
        <v>101762</v>
      </c>
    </row>
    <row r="16">
      <c r="A16" s="2" t="inlineStr">
        <is>
          <t>Federal | concluintes</t>
        </is>
      </c>
      <c r="B16" s="3" t="n">
        <v>37740</v>
      </c>
      <c r="C16" s="3" t="n">
        <v>39391</v>
      </c>
      <c r="D16" s="3" t="n">
        <v>42267</v>
      </c>
      <c r="E16" s="3" t="n">
        <v>39827</v>
      </c>
      <c r="F16" s="3" t="n">
        <v>43531</v>
      </c>
      <c r="G16" s="3" t="n">
        <v>37836</v>
      </c>
      <c r="H16" s="3" t="n">
        <v>31004</v>
      </c>
      <c r="I16" s="3" t="n">
        <v>35565</v>
      </c>
      <c r="J16" s="3" t="n">
        <v>36712</v>
      </c>
      <c r="K16" s="3" t="n">
        <v>37812</v>
      </c>
      <c r="L16" s="3" t="n">
        <v>37772</v>
      </c>
    </row>
    <row r="17">
      <c r="A17" s="2" t="inlineStr">
        <is>
          <t>Federal | evadidos</t>
        </is>
      </c>
      <c r="B17" s="3" t="n">
        <v>70118</v>
      </c>
      <c r="C17" s="3" t="n">
        <v>60725</v>
      </c>
      <c r="D17" s="3" t="n">
        <v>59825</v>
      </c>
      <c r="E17" s="3" t="n">
        <v>66530</v>
      </c>
      <c r="F17" s="3" t="n">
        <v>71764</v>
      </c>
      <c r="G17" s="3" t="n">
        <v>67046</v>
      </c>
      <c r="H17" s="3" t="n">
        <v>40529</v>
      </c>
      <c r="I17" s="3" t="n">
        <v>41605</v>
      </c>
      <c r="J17" s="3" t="n">
        <v>76145</v>
      </c>
      <c r="K17" s="3" t="n">
        <v>77215</v>
      </c>
      <c r="L17" s="3" t="n">
        <v>71117</v>
      </c>
    </row>
    <row r="18">
      <c r="A18" s="2" t="inlineStr">
        <is>
          <t>Federal | ingressos</t>
        </is>
      </c>
      <c r="B18" s="3" t="n">
        <v>102615</v>
      </c>
      <c r="C18" s="3" t="n">
        <v>85774</v>
      </c>
      <c r="D18" s="3" t="n">
        <v>89267</v>
      </c>
      <c r="E18" s="3" t="n">
        <v>116165</v>
      </c>
      <c r="F18" s="3" t="n">
        <v>101021</v>
      </c>
      <c r="G18" s="3" t="n">
        <v>95475</v>
      </c>
      <c r="H18" s="3" t="n">
        <v>92549</v>
      </c>
      <c r="I18" s="3" t="n">
        <v>81932</v>
      </c>
      <c r="J18" s="3" t="n">
        <v>82497</v>
      </c>
      <c r="K18" s="3" t="n">
        <v>100268</v>
      </c>
      <c r="L18" s="3" t="n">
        <v>95181</v>
      </c>
    </row>
    <row r="19">
      <c r="A19" s="2" t="inlineStr">
        <is>
          <t>Federal | inscritos</t>
        </is>
      </c>
      <c r="B19" s="3" t="n">
        <v>1352726</v>
      </c>
      <c r="C19" s="3" t="n">
        <v>1341259</v>
      </c>
      <c r="D19" s="3" t="n">
        <v>1241256</v>
      </c>
      <c r="E19" s="3" t="n">
        <v>1255156</v>
      </c>
      <c r="F19" s="3" t="n">
        <v>983624</v>
      </c>
      <c r="G19" s="3" t="n">
        <v>944867</v>
      </c>
      <c r="H19" s="3" t="n">
        <v>823745</v>
      </c>
      <c r="I19" s="3" t="n">
        <v>527285</v>
      </c>
      <c r="J19" s="3" t="n">
        <v>453899</v>
      </c>
      <c r="K19" s="3" t="n">
        <v>538102</v>
      </c>
      <c r="L19" s="3" t="n">
        <v>467399</v>
      </c>
    </row>
    <row r="20">
      <c r="A20" s="2" t="inlineStr">
        <is>
          <t>Federal | matriculados</t>
        </is>
      </c>
      <c r="B20" s="3" t="n">
        <v>334601</v>
      </c>
      <c r="C20" s="3" t="n">
        <v>323295</v>
      </c>
      <c r="D20" s="3" t="n">
        <v>328032</v>
      </c>
      <c r="E20" s="3" t="n">
        <v>350441</v>
      </c>
      <c r="F20" s="3" t="n">
        <v>355794</v>
      </c>
      <c r="G20" s="3" t="n">
        <v>353397</v>
      </c>
      <c r="H20" s="3" t="n">
        <v>325238</v>
      </c>
      <c r="I20" s="3" t="n">
        <v>353835</v>
      </c>
      <c r="J20" s="3" t="n">
        <v>336289</v>
      </c>
      <c r="K20" s="3" t="n">
        <v>333821</v>
      </c>
      <c r="L20" s="3" t="n">
        <v>330863</v>
      </c>
    </row>
    <row r="21">
      <c r="A21" s="2" t="inlineStr">
        <is>
          <t>Federal | trancados</t>
        </is>
      </c>
      <c r="B21" s="3" t="n">
        <v>46688</v>
      </c>
      <c r="C21" s="3" t="n">
        <v>53991</v>
      </c>
      <c r="D21" s="3" t="n">
        <v>53458</v>
      </c>
      <c r="E21" s="3" t="n">
        <v>47561</v>
      </c>
      <c r="F21" s="3" t="n">
        <v>41466</v>
      </c>
      <c r="G21" s="3" t="n">
        <v>42824</v>
      </c>
      <c r="H21" s="3" t="n">
        <v>88937</v>
      </c>
      <c r="I21" s="3" t="n">
        <v>80764</v>
      </c>
      <c r="J21" s="3" t="n">
        <v>75180</v>
      </c>
      <c r="K21" s="3" t="n">
        <v>69464</v>
      </c>
      <c r="L21" s="3" t="n">
        <v>63904</v>
      </c>
    </row>
    <row r="22">
      <c r="A22" s="2" t="inlineStr">
        <is>
          <t>Federal | vagas</t>
        </is>
      </c>
      <c r="B22" s="3" t="n">
        <v>157209</v>
      </c>
      <c r="C22" s="3" t="n">
        <v>136124</v>
      </c>
      <c r="D22" s="3" t="n">
        <v>134753</v>
      </c>
      <c r="E22" s="3" t="n">
        <v>157265</v>
      </c>
      <c r="F22" s="3" t="n">
        <v>141341</v>
      </c>
      <c r="G22" s="3" t="n">
        <v>142535</v>
      </c>
      <c r="H22" s="3" t="n">
        <v>145803</v>
      </c>
      <c r="I22" s="3" t="n">
        <v>147442</v>
      </c>
      <c r="J22" s="3" t="n">
        <v>156780</v>
      </c>
      <c r="K22" s="3" t="n">
        <v>213614</v>
      </c>
      <c r="L22" s="3" t="n">
        <v>181052</v>
      </c>
    </row>
    <row r="23">
      <c r="A23" s="2" t="inlineStr">
        <is>
          <t>Municipal | concluintes</t>
        </is>
      </c>
      <c r="B23" s="3" t="n">
        <v>2876</v>
      </c>
      <c r="C23" s="3" t="n">
        <v>3024</v>
      </c>
      <c r="D23" s="3" t="n">
        <v>2936</v>
      </c>
      <c r="E23" s="3" t="n">
        <v>3249</v>
      </c>
      <c r="F23" s="3" t="n">
        <v>2014</v>
      </c>
      <c r="G23" s="3" t="n">
        <v>1762</v>
      </c>
      <c r="H23" s="3" t="n">
        <v>1480</v>
      </c>
      <c r="I23" s="3" t="n">
        <v>1389</v>
      </c>
      <c r="J23" s="3" t="n">
        <v>1089</v>
      </c>
      <c r="K23" s="3" t="n">
        <v>576</v>
      </c>
      <c r="L23" s="3" t="n">
        <v>314</v>
      </c>
    </row>
    <row r="24">
      <c r="A24" s="2" t="inlineStr">
        <is>
          <t>Municipal | evadidos</t>
        </is>
      </c>
      <c r="B24" s="3" t="n">
        <v>2210</v>
      </c>
      <c r="C24" s="3" t="n">
        <v>2571</v>
      </c>
      <c r="D24" s="3" t="n">
        <v>1700</v>
      </c>
      <c r="E24" s="3" t="n">
        <v>2911</v>
      </c>
      <c r="F24" s="3" t="n">
        <v>1939</v>
      </c>
      <c r="G24" s="3" t="n">
        <v>1911</v>
      </c>
      <c r="H24" s="3" t="n">
        <v>1934</v>
      </c>
      <c r="I24" s="3" t="n">
        <v>1900</v>
      </c>
      <c r="J24" s="3" t="n">
        <v>1360</v>
      </c>
      <c r="K24" s="3" t="n">
        <v>593</v>
      </c>
      <c r="L24" s="3" t="n">
        <v>598</v>
      </c>
    </row>
    <row r="25">
      <c r="A25" s="2" t="inlineStr">
        <is>
          <t>Municipal | ingressos</t>
        </is>
      </c>
      <c r="B25" s="3" t="n">
        <v>3911</v>
      </c>
      <c r="C25" s="3" t="n">
        <v>3521</v>
      </c>
      <c r="D25" s="3" t="n">
        <v>3433</v>
      </c>
      <c r="E25" s="3" t="n">
        <v>4242</v>
      </c>
      <c r="F25" s="3" t="n">
        <v>2854</v>
      </c>
      <c r="G25" s="3" t="n">
        <v>2815</v>
      </c>
      <c r="H25" s="3" t="n">
        <v>2584</v>
      </c>
      <c r="I25" s="3" t="n">
        <v>1638</v>
      </c>
      <c r="J25" s="3" t="n">
        <v>1923</v>
      </c>
      <c r="K25" s="3" t="n">
        <v>1135</v>
      </c>
      <c r="L25" s="3" t="n">
        <v>978</v>
      </c>
    </row>
    <row r="26">
      <c r="A26" s="2" t="inlineStr">
        <is>
          <t>Municipal | inscritos</t>
        </is>
      </c>
      <c r="B26" s="3" t="n">
        <v>8461</v>
      </c>
      <c r="C26" s="3" t="n">
        <v>8954</v>
      </c>
      <c r="D26" s="3" t="n">
        <v>10139</v>
      </c>
      <c r="E26" s="3" t="n">
        <v>11716</v>
      </c>
      <c r="F26" s="3" t="n">
        <v>6940</v>
      </c>
      <c r="G26" s="3" t="n">
        <v>8812</v>
      </c>
      <c r="H26" s="3" t="n">
        <v>6991</v>
      </c>
      <c r="I26" s="3" t="n">
        <v>5910</v>
      </c>
      <c r="J26" s="3" t="n">
        <v>5054</v>
      </c>
      <c r="K26" s="3" t="n">
        <v>2546</v>
      </c>
      <c r="L26" s="3" t="n">
        <v>2010</v>
      </c>
    </row>
    <row r="27">
      <c r="A27" s="2" t="inlineStr">
        <is>
          <t>Municipal | matriculados</t>
        </is>
      </c>
      <c r="B27" s="3" t="n">
        <v>14820</v>
      </c>
      <c r="C27" s="3" t="n">
        <v>13178</v>
      </c>
      <c r="D27" s="3" t="n">
        <v>12315</v>
      </c>
      <c r="E27" s="3" t="n">
        <v>14768</v>
      </c>
      <c r="F27" s="3" t="n">
        <v>9032</v>
      </c>
      <c r="G27" s="3" t="n">
        <v>8457</v>
      </c>
      <c r="H27" s="3" t="n">
        <v>7003</v>
      </c>
      <c r="I27" s="3" t="n">
        <v>5879</v>
      </c>
      <c r="J27" s="3" t="n">
        <v>5039</v>
      </c>
      <c r="K27" s="3" t="n">
        <v>3095</v>
      </c>
      <c r="L27" s="3" t="n">
        <v>2743</v>
      </c>
    </row>
    <row r="28">
      <c r="A28" s="2" t="inlineStr">
        <is>
          <t>Municipal | trancados</t>
        </is>
      </c>
      <c r="B28" s="3" t="n">
        <v>1082</v>
      </c>
      <c r="C28" s="3" t="n">
        <v>873</v>
      </c>
      <c r="D28" s="3" t="n">
        <v>695</v>
      </c>
      <c r="E28" s="3" t="n">
        <v>1122</v>
      </c>
      <c r="F28" s="3" t="n">
        <v>880</v>
      </c>
      <c r="G28" s="3" t="n">
        <v>906</v>
      </c>
      <c r="H28" s="3" t="n">
        <v>787</v>
      </c>
      <c r="I28" s="3" t="n">
        <v>743</v>
      </c>
      <c r="J28" s="3" t="n">
        <v>746</v>
      </c>
      <c r="K28" s="3" t="n">
        <v>452</v>
      </c>
      <c r="L28" s="3" t="n">
        <v>336</v>
      </c>
    </row>
    <row r="29">
      <c r="A29" s="2" t="inlineStr">
        <is>
          <t>Municipal | vagas</t>
        </is>
      </c>
      <c r="B29" s="3" t="n">
        <v>11278</v>
      </c>
      <c r="C29" s="3" t="n">
        <v>11263</v>
      </c>
      <c r="D29" s="3" t="n">
        <v>13500</v>
      </c>
      <c r="E29" s="3" t="n">
        <v>41198</v>
      </c>
      <c r="F29" s="3" t="n">
        <v>36471</v>
      </c>
      <c r="G29" s="3" t="n">
        <v>50348</v>
      </c>
      <c r="H29" s="3" t="n">
        <v>51840</v>
      </c>
      <c r="I29" s="3" t="n">
        <v>35721</v>
      </c>
      <c r="J29" s="3" t="n">
        <v>9821</v>
      </c>
      <c r="K29" s="3" t="n">
        <v>4153</v>
      </c>
      <c r="L29" s="3" t="n">
        <v>3442</v>
      </c>
    </row>
    <row r="30">
      <c r="A30" s="2" t="inlineStr">
        <is>
          <t>Privada CFins Lucro | concluintes</t>
        </is>
      </c>
      <c r="B30" s="3" t="n">
        <v>68271</v>
      </c>
      <c r="C30" s="3" t="n">
        <v>86636</v>
      </c>
      <c r="D30" s="3" t="n">
        <v>89809</v>
      </c>
      <c r="E30" s="3" t="n">
        <v>106390</v>
      </c>
      <c r="F30" s="3" t="n">
        <v>117598</v>
      </c>
      <c r="G30" s="3" t="n">
        <v>125939</v>
      </c>
      <c r="H30" s="3" t="n">
        <v>131512</v>
      </c>
      <c r="I30" s="3" t="n">
        <v>169216</v>
      </c>
      <c r="J30" s="3" t="n">
        <v>145650</v>
      </c>
      <c r="K30" s="3" t="n">
        <v>129927</v>
      </c>
      <c r="L30" s="3" t="n">
        <v>116068</v>
      </c>
    </row>
    <row r="31">
      <c r="A31" s="2" t="inlineStr">
        <is>
          <t>Privada CFins Lucro | evadidos</t>
        </is>
      </c>
      <c r="B31" s="3" t="n">
        <v>126782</v>
      </c>
      <c r="C31" s="3" t="n">
        <v>133380</v>
      </c>
      <c r="D31" s="3" t="n">
        <v>192680</v>
      </c>
      <c r="E31" s="3" t="n">
        <v>183987</v>
      </c>
      <c r="F31" s="3" t="n">
        <v>294648</v>
      </c>
      <c r="G31" s="3" t="n">
        <v>281182</v>
      </c>
      <c r="H31" s="3" t="n">
        <v>258655</v>
      </c>
      <c r="I31" s="3" t="n">
        <v>288058</v>
      </c>
      <c r="J31" s="3" t="n">
        <v>372663</v>
      </c>
      <c r="K31" s="3" t="n">
        <v>389740</v>
      </c>
      <c r="L31" s="3" t="n">
        <v>461655</v>
      </c>
    </row>
    <row r="32">
      <c r="A32" s="2" t="inlineStr">
        <is>
          <t>Privada CFins Lucro | ingressos</t>
        </is>
      </c>
      <c r="B32" s="3" t="n">
        <v>250188</v>
      </c>
      <c r="C32" s="3" t="n">
        <v>234183</v>
      </c>
      <c r="D32" s="3" t="n">
        <v>309288</v>
      </c>
      <c r="E32" s="3" t="n">
        <v>316096</v>
      </c>
      <c r="F32" s="3" t="n">
        <v>415044</v>
      </c>
      <c r="G32" s="3" t="n">
        <v>449853</v>
      </c>
      <c r="H32" s="3" t="n">
        <v>464762</v>
      </c>
      <c r="I32" s="3" t="n">
        <v>408971</v>
      </c>
      <c r="J32" s="3" t="n">
        <v>567941</v>
      </c>
      <c r="K32" s="3" t="n">
        <v>587294</v>
      </c>
      <c r="L32" s="3" t="n">
        <v>573382</v>
      </c>
    </row>
    <row r="33">
      <c r="A33" s="2" t="inlineStr">
        <is>
          <t>Privada CFins Lucro | inscritos</t>
        </is>
      </c>
      <c r="B33" s="3" t="n">
        <v>707904</v>
      </c>
      <c r="C33" s="3" t="n">
        <v>565008</v>
      </c>
      <c r="D33" s="3" t="n">
        <v>818781</v>
      </c>
      <c r="E33" s="3" t="n">
        <v>887939</v>
      </c>
      <c r="F33" s="3" t="n">
        <v>1006525</v>
      </c>
      <c r="G33" s="3" t="n">
        <v>1646506</v>
      </c>
      <c r="H33" s="3" t="n">
        <v>1891715</v>
      </c>
      <c r="I33" s="3" t="n">
        <v>959803</v>
      </c>
      <c r="J33" s="3" t="n">
        <v>1294125</v>
      </c>
      <c r="K33" s="3" t="n">
        <v>926860</v>
      </c>
      <c r="L33" s="3" t="n">
        <v>1144360</v>
      </c>
    </row>
    <row r="34">
      <c r="A34" s="2" t="inlineStr">
        <is>
          <t>Privada CFins Lucro | matriculados</t>
        </is>
      </c>
      <c r="B34" s="3" t="n">
        <v>504574</v>
      </c>
      <c r="C34" s="3" t="n">
        <v>536126</v>
      </c>
      <c r="D34" s="3" t="n">
        <v>593227</v>
      </c>
      <c r="E34" s="3" t="n">
        <v>650036</v>
      </c>
      <c r="F34" s="3" t="n">
        <v>756101</v>
      </c>
      <c r="G34" s="3" t="n">
        <v>814072</v>
      </c>
      <c r="H34" s="3" t="n">
        <v>883703</v>
      </c>
      <c r="I34" s="3" t="n">
        <v>873009</v>
      </c>
      <c r="J34" s="3" t="n">
        <v>921635</v>
      </c>
      <c r="K34" s="3" t="n">
        <v>985065</v>
      </c>
      <c r="L34" s="3" t="n">
        <v>1000196</v>
      </c>
    </row>
    <row r="35">
      <c r="A35" s="2" t="inlineStr">
        <is>
          <t>Privada CFins Lucro | trancados</t>
        </is>
      </c>
      <c r="B35" s="3" t="n">
        <v>71778</v>
      </c>
      <c r="C35" s="3" t="n">
        <v>84692</v>
      </c>
      <c r="D35" s="3" t="n">
        <v>90529</v>
      </c>
      <c r="E35" s="3" t="n">
        <v>99593</v>
      </c>
      <c r="F35" s="3" t="n">
        <v>101440</v>
      </c>
      <c r="G35" s="3" t="n">
        <v>125811</v>
      </c>
      <c r="H35" s="3" t="n">
        <v>159811</v>
      </c>
      <c r="I35" s="3" t="n">
        <v>179024</v>
      </c>
      <c r="J35" s="3" t="n">
        <v>184429</v>
      </c>
      <c r="K35" s="3" t="n">
        <v>205388</v>
      </c>
      <c r="L35" s="3" t="n">
        <v>199055</v>
      </c>
    </row>
    <row r="36">
      <c r="A36" s="2" t="inlineStr">
        <is>
          <t>Privada CFins Lucro | vagas</t>
        </is>
      </c>
      <c r="B36" s="3" t="n">
        <v>820392</v>
      </c>
      <c r="C36" s="3" t="n">
        <v>667712</v>
      </c>
      <c r="D36" s="3" t="n">
        <v>905131</v>
      </c>
      <c r="E36" s="3" t="n">
        <v>800959</v>
      </c>
      <c r="F36" s="3" t="n">
        <v>1819918</v>
      </c>
      <c r="G36" s="3" t="n">
        <v>2187197</v>
      </c>
      <c r="H36" s="3" t="n">
        <v>2688396</v>
      </c>
      <c r="I36" s="3" t="n">
        <v>2931093</v>
      </c>
      <c r="J36" s="3" t="n">
        <v>2926142</v>
      </c>
      <c r="K36" s="3" t="n">
        <v>3324006</v>
      </c>
      <c r="L36" s="3" t="n">
        <v>3225458</v>
      </c>
    </row>
    <row r="37">
      <c r="A37" s="2" t="inlineStr">
        <is>
          <t>Privada SFins Lucro | concluintes</t>
        </is>
      </c>
      <c r="B37" s="3" t="n">
        <v>65268</v>
      </c>
      <c r="C37" s="3" t="n">
        <v>72241</v>
      </c>
      <c r="D37" s="3" t="n">
        <v>70592</v>
      </c>
      <c r="E37" s="3" t="n">
        <v>71822</v>
      </c>
      <c r="F37" s="3" t="n">
        <v>55676</v>
      </c>
      <c r="G37" s="3" t="n">
        <v>56666</v>
      </c>
      <c r="H37" s="3" t="n">
        <v>56878</v>
      </c>
      <c r="I37" s="3" t="n">
        <v>50983</v>
      </c>
      <c r="J37" s="3" t="n">
        <v>45003</v>
      </c>
      <c r="K37" s="3" t="n">
        <v>32755</v>
      </c>
      <c r="L37" s="3" t="n">
        <v>24009</v>
      </c>
    </row>
    <row r="38">
      <c r="A38" s="2" t="inlineStr">
        <is>
          <t>Privada SFins Lucro | evadidos</t>
        </is>
      </c>
      <c r="B38" s="3" t="n">
        <v>90486</v>
      </c>
      <c r="C38" s="3" t="n">
        <v>107086</v>
      </c>
      <c r="D38" s="3" t="n">
        <v>89559</v>
      </c>
      <c r="E38" s="3" t="n">
        <v>93305</v>
      </c>
      <c r="F38" s="3" t="n">
        <v>63914</v>
      </c>
      <c r="G38" s="3" t="n">
        <v>70844</v>
      </c>
      <c r="H38" s="3" t="n">
        <v>69122</v>
      </c>
      <c r="I38" s="3" t="n">
        <v>54563</v>
      </c>
      <c r="J38" s="3" t="n">
        <v>54918</v>
      </c>
      <c r="K38" s="3" t="n">
        <v>50133</v>
      </c>
      <c r="L38" s="3" t="n">
        <v>48519</v>
      </c>
    </row>
    <row r="39">
      <c r="A39" s="2" t="inlineStr">
        <is>
          <t>Privada SFins Lucro | ingressos</t>
        </is>
      </c>
      <c r="B39" s="3" t="n">
        <v>154089</v>
      </c>
      <c r="C39" s="3" t="n">
        <v>143495</v>
      </c>
      <c r="D39" s="3" t="n">
        <v>142345</v>
      </c>
      <c r="E39" s="3" t="n">
        <v>146428</v>
      </c>
      <c r="F39" s="3" t="n">
        <v>117307</v>
      </c>
      <c r="G39" s="3" t="n">
        <v>122273</v>
      </c>
      <c r="H39" s="3" t="n">
        <v>80087</v>
      </c>
      <c r="I39" s="3" t="n">
        <v>70927</v>
      </c>
      <c r="J39" s="3" t="n">
        <v>86388</v>
      </c>
      <c r="K39" s="3" t="n">
        <v>79903</v>
      </c>
      <c r="L39" s="3" t="n">
        <v>75718</v>
      </c>
    </row>
    <row r="40">
      <c r="A40" s="2" t="inlineStr">
        <is>
          <t>Privada SFins Lucro | inscritos</t>
        </is>
      </c>
      <c r="B40" s="3" t="n">
        <v>400791</v>
      </c>
      <c r="C40" s="3" t="n">
        <v>331834</v>
      </c>
      <c r="D40" s="3" t="n">
        <v>377467</v>
      </c>
      <c r="E40" s="3" t="n">
        <v>381918</v>
      </c>
      <c r="F40" s="3" t="n">
        <v>365977</v>
      </c>
      <c r="G40" s="3" t="n">
        <v>425308</v>
      </c>
      <c r="H40" s="3" t="n">
        <v>259140</v>
      </c>
      <c r="I40" s="3" t="n">
        <v>260062</v>
      </c>
      <c r="J40" s="3" t="n">
        <v>255691</v>
      </c>
      <c r="K40" s="3" t="n">
        <v>258907</v>
      </c>
      <c r="L40" s="3" t="n">
        <v>235509</v>
      </c>
    </row>
    <row r="41">
      <c r="A41" s="2" t="inlineStr">
        <is>
          <t>Privada SFins Lucro | matriculados</t>
        </is>
      </c>
      <c r="B41" s="3" t="n">
        <v>357438</v>
      </c>
      <c r="C41" s="3" t="n">
        <v>356807</v>
      </c>
      <c r="D41" s="3" t="n">
        <v>348153</v>
      </c>
      <c r="E41" s="3" t="n">
        <v>337565</v>
      </c>
      <c r="F41" s="3" t="n">
        <v>260148</v>
      </c>
      <c r="G41" s="3" t="n">
        <v>265042</v>
      </c>
      <c r="H41" s="3" t="n">
        <v>221463</v>
      </c>
      <c r="I41" s="3" t="n">
        <v>187945</v>
      </c>
      <c r="J41" s="3" t="n">
        <v>176347</v>
      </c>
      <c r="K41" s="3" t="n">
        <v>163501</v>
      </c>
      <c r="L41" s="3" t="n">
        <v>163599</v>
      </c>
    </row>
    <row r="42">
      <c r="A42" s="2" t="inlineStr">
        <is>
          <t>Privada SFins Lucro | trancados</t>
        </is>
      </c>
      <c r="B42" s="3" t="n">
        <v>61576</v>
      </c>
      <c r="C42" s="3" t="n">
        <v>53883</v>
      </c>
      <c r="D42" s="3" t="n">
        <v>54361</v>
      </c>
      <c r="E42" s="3" t="n">
        <v>58151</v>
      </c>
      <c r="F42" s="3" t="n">
        <v>48365</v>
      </c>
      <c r="G42" s="3" t="n">
        <v>44417</v>
      </c>
      <c r="H42" s="3" t="n">
        <v>42205</v>
      </c>
      <c r="I42" s="3" t="n">
        <v>42019</v>
      </c>
      <c r="J42" s="3" t="n">
        <v>36333</v>
      </c>
      <c r="K42" s="3" t="n">
        <v>35281</v>
      </c>
      <c r="L42" s="3" t="n">
        <v>34076</v>
      </c>
    </row>
    <row r="43">
      <c r="A43" s="2" t="inlineStr">
        <is>
          <t>Privada SFins Lucro | vagas</t>
        </is>
      </c>
      <c r="B43" s="3" t="n">
        <v>775439</v>
      </c>
      <c r="C43" s="3" t="n">
        <v>859380</v>
      </c>
      <c r="D43" s="3" t="n">
        <v>1085822</v>
      </c>
      <c r="E43" s="3" t="n">
        <v>1200368</v>
      </c>
      <c r="F43" s="3" t="n">
        <v>695041</v>
      </c>
      <c r="G43" s="3" t="n">
        <v>829079</v>
      </c>
      <c r="H43" s="3" t="n">
        <v>791320</v>
      </c>
      <c r="I43" s="3" t="n">
        <v>824285</v>
      </c>
      <c r="J43" s="3" t="n">
        <v>827389</v>
      </c>
      <c r="K43" s="3" t="n">
        <v>759213</v>
      </c>
      <c r="L43" s="3" t="n">
        <v>712123</v>
      </c>
    </row>
  </sheetData>
  <pageMargins left="0.75" right="0.75" top="1" bottom="1" header="0.5" footer="0.5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2026-06-06T20:56:43Z</dcterms:created>
  <dcterms:modified xmlns:dcterms="http://purl.org/dc/terms/" xmlns:xsi="http://www.w3.org/2001/XMLSchema-instance" xsi:type="dcterms:W3CDTF">2026-06-06T20:56:43Z</dcterms:modified>
</cp:coreProperties>
</file>